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scottnovis/mcp/agentwork/op-budget/"/>
    </mc:Choice>
  </mc:AlternateContent>
  <xr:revisionPtr revIDLastSave="0" documentId="13_ncr:1_{34C199BF-CEAC-D441-BA03-C315B85B9BE6}" xr6:coauthVersionLast="47" xr6:coauthVersionMax="47" xr10:uidLastSave="{00000000-0000-0000-0000-000000000000}"/>
  <bookViews>
    <workbookView xWindow="42700" yWindow="4120" windowWidth="24540" windowHeight="19440" activeTab="1" xr2:uid="{00000000-000D-0000-FFFF-FFFF00000000}"/>
  </bookViews>
  <sheets>
    <sheet name="Assumptions" sheetId="1" r:id="rId1"/>
    <sheet name="Enrollment &amp; Staffing" sheetId="2" r:id="rId2"/>
    <sheet name="Staffing Costs" sheetId="3" r:id="rId3"/>
    <sheet name="Expense Detail" sheetId="4" r:id="rId4"/>
    <sheet name="Sheet1" sheetId="9" r:id="rId5"/>
    <sheet name="Revenue Forecast" sheetId="5" r:id="rId6"/>
    <sheet name="Cash Flow" sheetId="6" r:id="rId7"/>
    <sheet name="Scenario Analysis" sheetId="7" r:id="rId8"/>
    <sheet name="Checklist" sheetId="8" r:id="rId9"/>
  </sheets>
  <definedNames>
    <definedName name="FiscalYearEnd">Assumptions!$C$3</definedName>
    <definedName name="FiscalYearStart">Assumptions!$C$2</definedName>
    <definedName name="InflationRate">Assumptions!$C$9</definedName>
    <definedName name="OperatingDays">Assumptions!$C$4</definedName>
    <definedName name="PayrollTaxesRate">Assumptions!$C$8</definedName>
    <definedName name="ProgramHoursPerWeek">Assumptions!$C$5</definedName>
    <definedName name="StaffBenefitsRate">Assumptions!$C$7</definedName>
    <definedName name="StartingCash">Assumptions!$C$6</definedName>
    <definedName name="UtilitiesInflationRate">Assumptions!$C$10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/>
  <c r="C12" i="4"/>
  <c r="C11" i="4"/>
  <c r="E9" i="4"/>
  <c r="F9" i="4"/>
  <c r="G9" i="4"/>
  <c r="H9" i="4"/>
  <c r="I9" i="4"/>
  <c r="J9" i="4"/>
  <c r="K9" i="4"/>
  <c r="L9" i="4"/>
  <c r="M9" i="4"/>
  <c r="N9" i="4"/>
  <c r="O9" i="4"/>
  <c r="P9" i="4"/>
  <c r="Q9" i="4"/>
  <c r="D9" i="4"/>
  <c r="E8" i="4"/>
  <c r="F8" i="4" s="1"/>
  <c r="G8" i="4" s="1"/>
  <c r="F6" i="4"/>
  <c r="G6" i="4"/>
  <c r="H6" i="4"/>
  <c r="E6" i="4"/>
  <c r="F7" i="4"/>
  <c r="G7" i="4" s="1"/>
  <c r="E7" i="4"/>
  <c r="G13" i="6"/>
  <c r="G12" i="6"/>
  <c r="G11" i="6"/>
  <c r="G10" i="6"/>
  <c r="G9" i="6"/>
  <c r="G8" i="6"/>
  <c r="G7" i="6"/>
  <c r="G6" i="6"/>
  <c r="G5" i="6"/>
  <c r="G4" i="6"/>
  <c r="G3" i="6"/>
  <c r="G2" i="6"/>
  <c r="C2" i="6"/>
  <c r="B2" i="6"/>
  <c r="B10" i="5"/>
  <c r="B11" i="5" s="1"/>
  <c r="O4" i="5"/>
  <c r="O3" i="5"/>
  <c r="P5" i="4"/>
  <c r="O5" i="4"/>
  <c r="N5" i="4"/>
  <c r="M5" i="4"/>
  <c r="L5" i="4"/>
  <c r="K5" i="4"/>
  <c r="J5" i="4"/>
  <c r="I5" i="4"/>
  <c r="Q5" i="4" s="1"/>
  <c r="H5" i="4"/>
  <c r="G5" i="4"/>
  <c r="F5" i="4"/>
  <c r="E5" i="4"/>
  <c r="P4" i="4"/>
  <c r="O4" i="4"/>
  <c r="N4" i="4"/>
  <c r="M4" i="4"/>
  <c r="L4" i="4"/>
  <c r="K4" i="4"/>
  <c r="J4" i="4"/>
  <c r="I4" i="4"/>
  <c r="H4" i="4"/>
  <c r="G4" i="4"/>
  <c r="Q4" i="4" s="1"/>
  <c r="F4" i="4"/>
  <c r="E4" i="4"/>
  <c r="B4" i="3"/>
  <c r="D4" i="3" s="1"/>
  <c r="F4" i="3" s="1"/>
  <c r="F2" i="3"/>
  <c r="D2" i="4" s="1"/>
  <c r="D24" i="2"/>
  <c r="H12" i="2"/>
  <c r="G11" i="2"/>
  <c r="I11" i="2" s="1"/>
  <c r="G10" i="2"/>
  <c r="I10" i="2" s="1"/>
  <c r="G9" i="2"/>
  <c r="I9" i="2" s="1"/>
  <c r="G8" i="2"/>
  <c r="G12" i="2" s="1"/>
  <c r="H6" i="2"/>
  <c r="G6" i="2"/>
  <c r="I5" i="2"/>
  <c r="G5" i="2"/>
  <c r="I4" i="2"/>
  <c r="G4" i="2"/>
  <c r="I3" i="2"/>
  <c r="G3" i="2"/>
  <c r="G2" i="2"/>
  <c r="I2" i="2" s="1"/>
  <c r="I6" i="2" s="1"/>
  <c r="C4" i="1"/>
  <c r="H8" i="4" l="1"/>
  <c r="I8" i="4" s="1"/>
  <c r="J8" i="4" s="1"/>
  <c r="K8" i="4" s="1"/>
  <c r="L8" i="4" s="1"/>
  <c r="M8" i="4" s="1"/>
  <c r="N8" i="4" s="1"/>
  <c r="O8" i="4" s="1"/>
  <c r="P8" i="4" s="1"/>
  <c r="Q8" i="4"/>
  <c r="I6" i="4"/>
  <c r="J6" i="4" s="1"/>
  <c r="K6" i="4" s="1"/>
  <c r="L6" i="4" s="1"/>
  <c r="M6" i="4" s="1"/>
  <c r="N6" i="4" s="1"/>
  <c r="O6" i="4" s="1"/>
  <c r="P6" i="4" s="1"/>
  <c r="H7" i="4"/>
  <c r="I7" i="4" s="1"/>
  <c r="J7" i="4" s="1"/>
  <c r="K7" i="4" s="1"/>
  <c r="L7" i="4" s="1"/>
  <c r="M7" i="4" s="1"/>
  <c r="N7" i="4" s="1"/>
  <c r="O7" i="4" s="1"/>
  <c r="P7" i="4" s="1"/>
  <c r="Q7" i="4"/>
  <c r="G14" i="2"/>
  <c r="F2" i="4"/>
  <c r="E2" i="4"/>
  <c r="K2" i="4"/>
  <c r="J2" i="4"/>
  <c r="I2" i="4"/>
  <c r="G2" i="4"/>
  <c r="O2" i="4"/>
  <c r="P2" i="4"/>
  <c r="N2" i="4"/>
  <c r="M2" i="4"/>
  <c r="L2" i="4"/>
  <c r="H2" i="4"/>
  <c r="H2" i="5"/>
  <c r="C8" i="6" s="1"/>
  <c r="G2" i="5"/>
  <c r="C7" i="6" s="1"/>
  <c r="F2" i="5"/>
  <c r="C6" i="6" s="1"/>
  <c r="J2" i="5"/>
  <c r="C10" i="6" s="1"/>
  <c r="E2" i="5"/>
  <c r="C5" i="6" s="1"/>
  <c r="D2" i="5"/>
  <c r="C4" i="6" s="1"/>
  <c r="M2" i="5"/>
  <c r="C13" i="6" s="1"/>
  <c r="C2" i="5"/>
  <c r="N2" i="5"/>
  <c r="L2" i="5"/>
  <c r="C12" i="6" s="1"/>
  <c r="K2" i="5"/>
  <c r="C11" i="6" s="1"/>
  <c r="I2" i="5"/>
  <c r="C9" i="6" s="1"/>
  <c r="I8" i="2"/>
  <c r="I12" i="2" s="1"/>
  <c r="I14" i="2" s="1"/>
  <c r="B3" i="3" s="1"/>
  <c r="D3" i="3" s="1"/>
  <c r="F3" i="3" s="1"/>
  <c r="D3" i="4" s="1"/>
  <c r="Q6" i="4" l="1"/>
  <c r="F3" i="4"/>
  <c r="O3" i="4"/>
  <c r="E3" i="4"/>
  <c r="K3" i="4"/>
  <c r="D9" i="6" s="1"/>
  <c r="E9" i="6" s="1"/>
  <c r="J3" i="4"/>
  <c r="L3" i="4"/>
  <c r="I3" i="4"/>
  <c r="D7" i="6" s="1"/>
  <c r="E7" i="6" s="1"/>
  <c r="P3" i="4"/>
  <c r="N3" i="4"/>
  <c r="D12" i="6" s="1"/>
  <c r="E12" i="6" s="1"/>
  <c r="M3" i="4"/>
  <c r="D11" i="6" s="1"/>
  <c r="E11" i="6" s="1"/>
  <c r="H3" i="4"/>
  <c r="D6" i="6" s="1"/>
  <c r="E6" i="6" s="1"/>
  <c r="G3" i="4"/>
  <c r="D5" i="6" s="1"/>
  <c r="E5" i="6" s="1"/>
  <c r="D2" i="6"/>
  <c r="E2" i="6" s="1"/>
  <c r="F2" i="6" s="1"/>
  <c r="D13" i="6"/>
  <c r="O2" i="5"/>
  <c r="C3" i="6"/>
  <c r="E13" i="6"/>
  <c r="D8" i="6"/>
  <c r="D3" i="6"/>
  <c r="Q2" i="4"/>
  <c r="D4" i="6"/>
  <c r="E4" i="6" s="1"/>
  <c r="E8" i="6"/>
  <c r="D10" i="6"/>
  <c r="E10" i="6" s="1"/>
  <c r="B3" i="6" l="1"/>
  <c r="H2" i="6"/>
  <c r="Q3" i="4"/>
  <c r="E3" i="6"/>
  <c r="E4" i="7"/>
  <c r="E3" i="7"/>
  <c r="E2" i="7"/>
  <c r="F3" i="6" l="1"/>
  <c r="B4" i="6" l="1"/>
  <c r="F4" i="6" s="1"/>
  <c r="H3" i="6"/>
  <c r="B5" i="6" l="1"/>
  <c r="F5" i="6" s="1"/>
  <c r="H4" i="6"/>
  <c r="B6" i="6" l="1"/>
  <c r="F6" i="6" s="1"/>
  <c r="H5" i="6"/>
  <c r="B7" i="6" l="1"/>
  <c r="F7" i="6" s="1"/>
  <c r="H6" i="6"/>
  <c r="B8" i="6" l="1"/>
  <c r="F8" i="6" s="1"/>
  <c r="H7" i="6"/>
  <c r="H8" i="6" l="1"/>
  <c r="B9" i="6"/>
  <c r="F9" i="6" s="1"/>
  <c r="B10" i="6" l="1"/>
  <c r="F10" i="6" s="1"/>
  <c r="H9" i="6"/>
  <c r="B11" i="6" l="1"/>
  <c r="F11" i="6" s="1"/>
  <c r="H10" i="6"/>
  <c r="B12" i="6" l="1"/>
  <c r="F12" i="6" s="1"/>
  <c r="H11" i="6"/>
  <c r="H12" i="6" l="1"/>
  <c r="B13" i="6"/>
  <c r="F13" i="6" s="1"/>
  <c r="H13" i="6" s="1"/>
</calcChain>
</file>

<file path=xl/sharedStrings.xml><?xml version="1.0" encoding="utf-8"?>
<sst xmlns="http://schemas.openxmlformats.org/spreadsheetml/2006/main" count="298" uniqueCount="183">
  <si>
    <t>Category</t>
  </si>
  <si>
    <t>Driver</t>
  </si>
  <si>
    <t>Value</t>
  </si>
  <si>
    <t>Units</t>
  </si>
  <si>
    <t>Status</t>
  </si>
  <si>
    <t>Owner</t>
  </si>
  <si>
    <t>Notes</t>
  </si>
  <si>
    <t>Fiscal Settings</t>
  </si>
  <si>
    <t>FiscalYearStart</t>
  </si>
  <si>
    <t>date</t>
  </si>
  <si>
    <t>Placeholder</t>
  </si>
  <si>
    <t>Matthew</t>
  </si>
  <si>
    <t>Confirm with City</t>
  </si>
  <si>
    <t>FiscalYearEnd</t>
  </si>
  <si>
    <t>Operations</t>
  </si>
  <si>
    <t>OperatingDays</t>
  </si>
  <si>
    <t>days</t>
  </si>
  <si>
    <t>NETWORKDAYS once holiday list ready</t>
  </si>
  <si>
    <t>ProgramHoursPerWeek</t>
  </si>
  <si>
    <t>hours</t>
  </si>
  <si>
    <t>Program Lead</t>
  </si>
  <si>
    <t>Update after schedule planning</t>
  </si>
  <si>
    <t>Finance</t>
  </si>
  <si>
    <t>StartingCash</t>
  </si>
  <si>
    <t>USD</t>
  </si>
  <si>
    <t>City</t>
  </si>
  <si>
    <t>Confirm start-up funding</t>
  </si>
  <si>
    <t>HR</t>
  </si>
  <si>
    <t>StaffBenefitsRate</t>
  </si>
  <si>
    <t>%</t>
  </si>
  <si>
    <t>Include health &amp; retirement</t>
  </si>
  <si>
    <t>PayrollTaxesRate</t>
  </si>
  <si>
    <t>Confirm employer tax load</t>
  </si>
  <si>
    <t>InflationRate</t>
  </si>
  <si>
    <t>General inflation assumption</t>
  </si>
  <si>
    <t>Facilities</t>
  </si>
  <si>
    <t>UtilitiesInflationRate</t>
  </si>
  <si>
    <t>Energy costs trending</t>
  </si>
  <si>
    <t>Program Period</t>
  </si>
  <si>
    <t>Zone Name</t>
  </si>
  <si>
    <t>Zone Type</t>
  </si>
  <si>
    <t>Hours/Day</t>
  </si>
  <si>
    <t>Days/Week</t>
  </si>
  <si>
    <t>Weeks/Year</t>
  </si>
  <si>
    <t>Annual Hours</t>
  </si>
  <si>
    <t>Headcount</t>
  </si>
  <si>
    <t>FTE per Person</t>
  </si>
  <si>
    <t>School Year</t>
  </si>
  <si>
    <t>Gym</t>
  </si>
  <si>
    <t>Always Open</t>
  </si>
  <si>
    <t>Core activity space</t>
  </si>
  <si>
    <t>Games Room</t>
  </si>
  <si>
    <t>Front Desk</t>
  </si>
  <si>
    <t>Reception &amp; supervision</t>
  </si>
  <si>
    <t>Rotating Zone</t>
  </si>
  <si>
    <t>Rotating</t>
  </si>
  <si>
    <t>Art, Computer Lab, Zen Den, or Teen Center</t>
  </si>
  <si>
    <t>School Year SUBTOTAL</t>
  </si>
  <si>
    <t>41 weeks, 2PM-6PM weekdays</t>
  </si>
  <si>
    <t>Summer Program</t>
  </si>
  <si>
    <t>Summer SUBTOTAL</t>
  </si>
  <si>
    <t>11 weeks, 7AM-6PM weekdays</t>
  </si>
  <si>
    <t>ANNUAL TOTAL</t>
  </si>
  <si>
    <t>52 weeks total employment</t>
  </si>
  <si>
    <t>IMPORTANT:</t>
  </si>
  <si>
    <t>4 staff on-site simultaneously during all operating hours</t>
  </si>
  <si>
    <t>HEADCOUNT vs FTE:</t>
  </si>
  <si>
    <t>4 part-time positions</t>
  </si>
  <si>
    <t>Total FTE shown in I14 for budgeting</t>
  </si>
  <si>
    <t>Capacity</t>
  </si>
  <si>
    <t>Max</t>
  </si>
  <si>
    <t>Typ</t>
  </si>
  <si>
    <t>After-School Core</t>
  </si>
  <si>
    <t>Grades 1-5</t>
  </si>
  <si>
    <t>Middle School</t>
  </si>
  <si>
    <t>Grades 6-8</t>
  </si>
  <si>
    <t>Teen Programming</t>
  </si>
  <si>
    <t>Grades 1-8</t>
  </si>
  <si>
    <t>Role</t>
  </si>
  <si>
    <t>FTE</t>
  </si>
  <si>
    <t>Hourly Rate</t>
  </si>
  <si>
    <t>Annual Salary</t>
  </si>
  <si>
    <t>Benefits %</t>
  </si>
  <si>
    <t>Total Compensation</t>
  </si>
  <si>
    <t>Funding Source</t>
  </si>
  <si>
    <t>Placeholder?</t>
  </si>
  <si>
    <t>Program Director</t>
  </si>
  <si>
    <t>City Allocation</t>
  </si>
  <si>
    <t>Confirm salary range</t>
  </si>
  <si>
    <t>Zone Staff (4 part-time positions)</t>
  </si>
  <si>
    <t>Program Fees</t>
  </si>
  <si>
    <t>4 positions covering all zones year-round (41 wks school + 11 wks summer)</t>
  </si>
  <si>
    <t>Teen Coordinator</t>
  </si>
  <si>
    <t>Grants</t>
  </si>
  <si>
    <t>Hourly rate TBD</t>
  </si>
  <si>
    <t>Line Item</t>
  </si>
  <si>
    <t>Cost Driver</t>
  </si>
  <si>
    <t>Formula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</si>
  <si>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</si>
  <si>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</si>
  <si>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</si>
  <si>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</si>
  <si>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</si>
  <si>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</si>
  <si>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</si>
  <si>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</si>
  <si>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</si>
  <si>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</si>
  <si>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</si>
  <si>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</si>
  <si>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Total</t>
  </si>
  <si>
    <t>Personnel</t>
  </si>
  <si>
    <t>Fixed Salary</t>
  </si>
  <si>
    <t>Update salary</t>
  </si>
  <si>
    <t>Youth Dev Specialists</t>
  </si>
  <si>
    <t>Hourly</t>
  </si>
  <si>
    <t>Dependent on staffing ratios</t>
  </si>
  <si>
    <t>Program</t>
  </si>
  <si>
    <t>Meals</t>
  </si>
  <si>
    <t>Attendance * Cost</t>
  </si>
  <si>
    <t>Need meal vendor quote</t>
  </si>
  <si>
    <t>Supplies</t>
  </si>
  <si>
    <t>Utilities</t>
  </si>
  <si>
    <t>City In-kind</t>
  </si>
  <si>
    <t>Confirm with city</t>
  </si>
  <si>
    <t>Facility Lease/Rent</t>
  </si>
  <si>
    <t>City agreement / lease terms</t>
  </si>
  <si>
    <t>Confirm lease cost with city</t>
  </si>
  <si>
    <t>Administrative</t>
  </si>
  <si>
    <t>Insurance (Liability &amp; D&amp;O)</t>
  </si>
  <si>
    <t>Annual premium / 12</t>
  </si>
  <si>
    <t>Pending quote from broker</t>
  </si>
  <si>
    <t>Scenario Analysis</t>
  </si>
  <si>
    <t>Low enrollment</t>
  </si>
  <si>
    <t>Mid</t>
  </si>
  <si>
    <t>Summer</t>
  </si>
  <si>
    <t>Restriction</t>
  </si>
  <si>
    <t>Confidence</t>
  </si>
  <si>
    <t>Earned</t>
  </si>
  <si>
    <t>Participant Fees</t>
  </si>
  <si>
    <t>Unrestricted</t>
  </si>
  <si>
    <t>Medium</t>
  </si>
  <si>
    <t>Placeholder billing</t>
  </si>
  <si>
    <t>Government</t>
  </si>
  <si>
    <t>City Support (Operating Subsidy)</t>
  </si>
  <si>
    <t>Restricted</t>
  </si>
  <si>
    <t>High</t>
  </si>
  <si>
    <t>Awaiting commitments</t>
  </si>
  <si>
    <t>Contributions</t>
  </si>
  <si>
    <t>Grants &amp; Contributions</t>
  </si>
  <si>
    <t>Pending applications</t>
  </si>
  <si>
    <t>Revenue Calculation:</t>
  </si>
  <si>
    <t>Total enrollment</t>
  </si>
  <si>
    <t>Cost per participant</t>
  </si>
  <si>
    <t>Annual revenue</t>
  </si>
  <si>
    <t>Monthly revenue</t>
  </si>
  <si>
    <t>Month</t>
  </si>
  <si>
    <t>Beginning Cash</t>
  </si>
  <si>
    <t>Cash In</t>
  </si>
  <si>
    <t>Cash Out</t>
  </si>
  <si>
    <t>Net Change</t>
  </si>
  <si>
    <t>Ending Cash</t>
  </si>
  <si>
    <t>Minimum Target</t>
  </si>
  <si>
    <t>Variance</t>
  </si>
  <si>
    <t>Placeholder cash forecast</t>
  </si>
  <si>
    <t>Scenario</t>
  </si>
  <si>
    <t>Revenue Multiplier</t>
  </si>
  <si>
    <t>Enrollment Multiplier</t>
  </si>
  <si>
    <t>Expense Escalation</t>
  </si>
  <si>
    <t>Projected Surplus/Deficit</t>
  </si>
  <si>
    <t>Base</t>
  </si>
  <si>
    <t>Baseline assumption</t>
  </si>
  <si>
    <t>Conservative</t>
  </si>
  <si>
    <t>Lower enrollment, higher costs</t>
  </si>
  <si>
    <t>Stretch</t>
  </si>
  <si>
    <t>Higher enrollment, small savings</t>
  </si>
  <si>
    <t>Item</t>
  </si>
  <si>
    <t>Due Date</t>
  </si>
  <si>
    <t>Confirm fiscal year with city</t>
  </si>
  <si>
    <t>In Progress</t>
  </si>
  <si>
    <t>Gather enrollment projections</t>
  </si>
  <si>
    <t>Not Started</t>
  </si>
  <si>
    <t>Secure facility MOU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</si>
</sst>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1">
    <dxf>
      <fill>
        <patternFill patternType="solid">
          <fgColor rgb="FFFFFBE5"/>
          <bgColor rgb="FFFFFBE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Assumptions" displayName="TblAssumptions" ref="A1:G10">
  <autoFilter ref="A1:G10" xr:uid="{00000000-0009-0000-0100-000001000000}"/>
  <tableColumns count="7">
    <tableColumn id="1" xr3:uid="{00000000-0010-0000-0000-000001000000}" name="Category"/>
    <tableColumn id="2" xr3:uid="{00000000-0010-0000-0000-000002000000}" name="Driver"/>
    <tableColumn id="3" xr3:uid="{00000000-0010-0000-0000-000003000000}" name="Value"/>
    <tableColumn id="4" xr3:uid="{00000000-0010-0000-0000-000004000000}" name="Units"/>
    <tableColumn id="5" xr3:uid="{00000000-0010-0000-0000-000005000000}" name="Status"/>
    <tableColumn id="6" xr3:uid="{00000000-0010-0000-0000-000006000000}" name="Owner"/>
    <tableColumn id="7" xr3:uid="{00000000-0010-0000-0000-000007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taffingCosts" displayName="TblStaffingCosts" ref="A1:I4">
  <autoFilter ref="A1:I4" xr:uid="{00000000-0009-0000-0100-000002000000}"/>
  <tableColumns count="9">
    <tableColumn id="1" xr3:uid="{00000000-0010-0000-0100-000001000000}" name="Role"/>
    <tableColumn id="2" xr3:uid="{00000000-0010-0000-0100-000002000000}" name="FTE"/>
    <tableColumn id="3" xr3:uid="{00000000-0010-0000-0100-000003000000}" name="Hourly Rate"/>
    <tableColumn id="4" xr3:uid="{00000000-0010-0000-0100-000004000000}" name="Annual Salary"/>
    <tableColumn id="5" xr3:uid="{00000000-0010-0000-0100-000005000000}" name="Benefits %"/>
    <tableColumn id="6" xr3:uid="{00000000-0010-0000-0100-000006000000}" name="Total Compensation"/>
    <tableColumn id="7" xr3:uid="{00000000-0010-0000-0100-000007000000}" name="Funding Source"/>
    <tableColumn id="8" xr3:uid="{00000000-0010-0000-0100-000008000000}" name="Placeholder?"/>
    <tableColumn id="9" xr3:uid="{00000000-0010-0000-0100-000009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cenarioAnalysis" displayName="TblScenarioAnalysis" ref="A1:F4">
  <autoFilter ref="A1:F4" xr:uid="{00000000-0009-0000-0100-000003000000}"/>
  <tableColumns count="6">
    <tableColumn id="1" xr3:uid="{00000000-0010-0000-0200-000001000000}" name="Scenario"/>
    <tableColumn id="2" xr3:uid="{00000000-0010-0000-0200-000002000000}" name="Revenue Multiplier"/>
    <tableColumn id="3" xr3:uid="{00000000-0010-0000-0200-000003000000}" name="Enrollment Multiplier"/>
    <tableColumn id="4" xr3:uid="{00000000-0010-0000-0200-000004000000}" name="Expense Escalation"/>
    <tableColumn id="5" xr3:uid="{00000000-0010-0000-0200-000005000000}" name="Projected Surplus/Deficit"/>
    <tableColumn id="6" xr3:uid="{00000000-0010-0000-0200-000006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hecklist" displayName="TblChecklist" ref="A1:E4">
  <autoFilter ref="A1:E4" xr:uid="{00000000-0009-0000-0100-000004000000}"/>
  <tableColumns count="5">
    <tableColumn id="1" xr3:uid="{00000000-0010-0000-0300-000001000000}" name="Item"/>
    <tableColumn id="2" xr3:uid="{00000000-0010-0000-0300-000002000000}" name="Owner"/>
    <tableColumn id="3" xr3:uid="{00000000-0010-0000-0300-000003000000}" name="Status"/>
    <tableColumn id="4" xr3:uid="{00000000-0010-0000-0300-000004000000}" name="Due Date"/>
    <tableColumn id="5" xr3:uid="{00000000-0010-0000-03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zoomScale="150" zoomScaleNormal="150" workbookViewId="0">
      <pane ySplit="1" topLeftCell="A2" activePane="bottomLeft" state="frozen"/>
      <selection pane="bottomLeft" activeCell="B8" sqref="B8"/>
    </sheetView>
  </sheetViews>
  <sheetFormatPr baseColWidth="10" defaultColWidth="8.83203125" defaultRowHeight="15" x14ac:dyDescent="0.2"/>
  <cols>
    <col min="1" max="7" width="20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8</v>
      </c>
      <c r="C2" s="2">
        <v>45962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 t="s">
        <v>7</v>
      </c>
      <c r="B3" t="s">
        <v>13</v>
      </c>
      <c r="C3" s="2">
        <v>46326</v>
      </c>
      <c r="D3" t="s">
        <v>9</v>
      </c>
      <c r="E3" t="s">
        <v>10</v>
      </c>
      <c r="F3" t="s">
        <v>11</v>
      </c>
      <c r="G3" t="s">
        <v>12</v>
      </c>
    </row>
    <row r="4" spans="1:7" x14ac:dyDescent="0.2">
      <c r="A4" t="s">
        <v>14</v>
      </c>
      <c r="B4" t="s">
        <v>15</v>
      </c>
      <c r="C4">
        <f>NETWORKDAYS(FiscalYearStart,FiscalYearEnd)</f>
        <v>260</v>
      </c>
      <c r="D4" t="s">
        <v>16</v>
      </c>
      <c r="E4" t="s">
        <v>10</v>
      </c>
      <c r="F4" t="s">
        <v>11</v>
      </c>
      <c r="G4" t="s">
        <v>17</v>
      </c>
    </row>
    <row r="5" spans="1:7" x14ac:dyDescent="0.2">
      <c r="A5" t="s">
        <v>14</v>
      </c>
      <c r="B5" t="s">
        <v>18</v>
      </c>
      <c r="C5">
        <v>35</v>
      </c>
      <c r="D5" t="s">
        <v>19</v>
      </c>
      <c r="E5" t="s">
        <v>10</v>
      </c>
      <c r="F5" t="s">
        <v>20</v>
      </c>
      <c r="G5" t="s">
        <v>21</v>
      </c>
    </row>
    <row r="6" spans="1:7" x14ac:dyDescent="0.2">
      <c r="A6" t="s">
        <v>22</v>
      </c>
      <c r="B6" t="s">
        <v>23</v>
      </c>
      <c r="C6">
        <v>0</v>
      </c>
      <c r="D6" t="s">
        <v>24</v>
      </c>
      <c r="E6" t="s">
        <v>10</v>
      </c>
      <c r="F6" t="s">
        <v>25</v>
      </c>
      <c r="G6" t="s">
        <v>26</v>
      </c>
    </row>
    <row r="7" spans="1:7" x14ac:dyDescent="0.2">
      <c r="A7" t="s">
        <v>27</v>
      </c>
      <c r="B7" t="s">
        <v>28</v>
      </c>
      <c r="C7">
        <v>0.18</v>
      </c>
      <c r="D7" t="s">
        <v>29</v>
      </c>
      <c r="E7" t="s">
        <v>10</v>
      </c>
      <c r="F7" t="s">
        <v>27</v>
      </c>
      <c r="G7" t="s">
        <v>30</v>
      </c>
    </row>
    <row r="8" spans="1:7" x14ac:dyDescent="0.2">
      <c r="A8" t="s">
        <v>27</v>
      </c>
      <c r="B8" t="s">
        <v>31</v>
      </c>
      <c r="C8">
        <v>0.08</v>
      </c>
      <c r="D8" t="s">
        <v>29</v>
      </c>
      <c r="E8" t="s">
        <v>10</v>
      </c>
      <c r="F8" t="s">
        <v>22</v>
      </c>
      <c r="G8" t="s">
        <v>32</v>
      </c>
    </row>
    <row r="9" spans="1:7" x14ac:dyDescent="0.2">
      <c r="A9" t="s">
        <v>22</v>
      </c>
      <c r="B9" t="s">
        <v>33</v>
      </c>
      <c r="C9">
        <v>0.03</v>
      </c>
      <c r="D9" t="s">
        <v>29</v>
      </c>
      <c r="E9" t="s">
        <v>10</v>
      </c>
      <c r="F9" t="s">
        <v>22</v>
      </c>
      <c r="G9" t="s">
        <v>34</v>
      </c>
    </row>
    <row r="10" spans="1:7" x14ac:dyDescent="0.2">
      <c r="A10" t="s">
        <v>35</v>
      </c>
      <c r="B10" t="s">
        <v>36</v>
      </c>
      <c r="C10">
        <v>0.04</v>
      </c>
      <c r="D10" t="s">
        <v>29</v>
      </c>
      <c r="E10" t="s">
        <v>10</v>
      </c>
      <c r="F10" t="s">
        <v>35</v>
      </c>
      <c r="G10" t="s">
        <v>37</v>
      </c>
    </row>
  </sheetData>
  <conditionalFormatting sqref="E2:E10">
    <cfRule type="expression" dxfId="0" priority="1">
      <formula>$E2="Placeholder"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"/>
  <sheetViews>
    <sheetView tabSelected="1" zoomScale="150" zoomScaleNormal="150" workbookViewId="0">
      <pane ySplit="1" topLeftCell="A2" activePane="bottomLeft" state="frozen"/>
      <selection pane="bottomLeft" activeCell="C26" sqref="C26"/>
    </sheetView>
  </sheetViews>
  <sheetFormatPr baseColWidth="10" defaultColWidth="8.83203125" defaultRowHeight="15" x14ac:dyDescent="0.2"/>
  <cols>
    <col min="1" max="1" width="22" customWidth="1"/>
    <col min="2" max="2" width="11" customWidth="1"/>
    <col min="3" max="3" width="9.83203125" customWidth="1"/>
    <col min="4" max="4" width="17.5" customWidth="1"/>
    <col min="5" max="9" width="22" customWidth="1"/>
  </cols>
  <sheetData>
    <row r="1" spans="1:10" x14ac:dyDescent="0.2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t="s">
        <v>6</v>
      </c>
    </row>
    <row r="2" spans="1:10" x14ac:dyDescent="0.2">
      <c r="A2" t="s">
        <v>47</v>
      </c>
      <c r="B2" t="s">
        <v>48</v>
      </c>
      <c r="C2" t="s">
        <v>49</v>
      </c>
      <c r="D2">
        <v>4</v>
      </c>
      <c r="E2">
        <v>5</v>
      </c>
      <c r="F2">
        <v>41</v>
      </c>
      <c r="G2">
        <f>D2*E2*F2</f>
        <v>820</v>
      </c>
      <c r="H2">
        <v>1</v>
      </c>
      <c r="I2">
        <f>G2/2080</f>
        <v>0.39423076923076922</v>
      </c>
      <c r="J2" t="s">
        <v>50</v>
      </c>
    </row>
    <row r="3" spans="1:10" x14ac:dyDescent="0.2">
      <c r="A3" t="s">
        <v>47</v>
      </c>
      <c r="B3" t="s">
        <v>51</v>
      </c>
      <c r="C3" t="s">
        <v>49</v>
      </c>
      <c r="D3">
        <v>4</v>
      </c>
      <c r="E3">
        <v>5</v>
      </c>
      <c r="F3">
        <v>41</v>
      </c>
      <c r="G3">
        <f>D3*E3*F3</f>
        <v>820</v>
      </c>
      <c r="H3">
        <v>1</v>
      </c>
      <c r="I3">
        <f>G3/2080</f>
        <v>0.39423076923076922</v>
      </c>
      <c r="J3" t="s">
        <v>50</v>
      </c>
    </row>
    <row r="4" spans="1:10" x14ac:dyDescent="0.2">
      <c r="A4" t="s">
        <v>47</v>
      </c>
      <c r="B4" t="s">
        <v>52</v>
      </c>
      <c r="C4" t="s">
        <v>49</v>
      </c>
      <c r="D4">
        <v>4</v>
      </c>
      <c r="E4">
        <v>5</v>
      </c>
      <c r="F4">
        <v>41</v>
      </c>
      <c r="G4">
        <f>D4*E4*F4</f>
        <v>820</v>
      </c>
      <c r="H4">
        <v>1</v>
      </c>
      <c r="I4">
        <f>G4/2080</f>
        <v>0.39423076923076922</v>
      </c>
      <c r="J4" t="s">
        <v>53</v>
      </c>
    </row>
    <row r="5" spans="1:10" x14ac:dyDescent="0.2">
      <c r="A5" t="s">
        <v>47</v>
      </c>
      <c r="B5" t="s">
        <v>54</v>
      </c>
      <c r="C5" t="s">
        <v>55</v>
      </c>
      <c r="D5">
        <v>4</v>
      </c>
      <c r="E5">
        <v>5</v>
      </c>
      <c r="F5">
        <v>41</v>
      </c>
      <c r="G5">
        <f>D5*E5*F5</f>
        <v>820</v>
      </c>
      <c r="H5">
        <v>1</v>
      </c>
      <c r="I5">
        <f>G5/2080</f>
        <v>0.39423076923076922</v>
      </c>
      <c r="J5" t="s">
        <v>56</v>
      </c>
    </row>
    <row r="6" spans="1:10" x14ac:dyDescent="0.2">
      <c r="A6" t="s">
        <v>57</v>
      </c>
      <c r="G6">
        <f>SUM(G2:G5)</f>
        <v>3280</v>
      </c>
      <c r="H6">
        <f>SUM(H2:H5)</f>
        <v>4</v>
      </c>
      <c r="I6">
        <f>SUM(I2:I5)</f>
        <v>1.5769230769230769</v>
      </c>
      <c r="J6" t="s">
        <v>58</v>
      </c>
    </row>
    <row r="8" spans="1:10" x14ac:dyDescent="0.2">
      <c r="A8" t="s">
        <v>59</v>
      </c>
      <c r="B8" t="s">
        <v>48</v>
      </c>
      <c r="C8" t="s">
        <v>49</v>
      </c>
      <c r="D8">
        <v>11</v>
      </c>
      <c r="E8">
        <v>5</v>
      </c>
      <c r="F8">
        <v>11</v>
      </c>
      <c r="G8">
        <f>D8*E8*F8</f>
        <v>605</v>
      </c>
      <c r="H8">
        <v>1</v>
      </c>
      <c r="I8">
        <f>G8/2080</f>
        <v>0.29086538461538464</v>
      </c>
      <c r="J8" t="s">
        <v>50</v>
      </c>
    </row>
    <row r="9" spans="1:10" x14ac:dyDescent="0.2">
      <c r="A9" t="s">
        <v>59</v>
      </c>
      <c r="B9" t="s">
        <v>51</v>
      </c>
      <c r="C9" t="s">
        <v>49</v>
      </c>
      <c r="D9">
        <v>11</v>
      </c>
      <c r="E9">
        <v>5</v>
      </c>
      <c r="F9">
        <v>11</v>
      </c>
      <c r="G9">
        <f>D9*E9*F9</f>
        <v>605</v>
      </c>
      <c r="H9">
        <v>1</v>
      </c>
      <c r="I9">
        <f>G9/2080</f>
        <v>0.29086538461538464</v>
      </c>
      <c r="J9" t="s">
        <v>50</v>
      </c>
    </row>
    <row r="10" spans="1:10" x14ac:dyDescent="0.2">
      <c r="A10" t="s">
        <v>59</v>
      </c>
      <c r="B10" t="s">
        <v>52</v>
      </c>
      <c r="C10" t="s">
        <v>49</v>
      </c>
      <c r="D10">
        <v>11</v>
      </c>
      <c r="E10">
        <v>5</v>
      </c>
      <c r="F10">
        <v>11</v>
      </c>
      <c r="G10">
        <f>D10*E10*F10</f>
        <v>605</v>
      </c>
      <c r="H10">
        <v>1</v>
      </c>
      <c r="I10">
        <f>G10/2080</f>
        <v>0.29086538461538464</v>
      </c>
      <c r="J10" t="s">
        <v>53</v>
      </c>
    </row>
    <row r="11" spans="1:10" x14ac:dyDescent="0.2">
      <c r="A11" t="s">
        <v>59</v>
      </c>
      <c r="B11" t="s">
        <v>54</v>
      </c>
      <c r="C11" t="s">
        <v>55</v>
      </c>
      <c r="D11">
        <v>11</v>
      </c>
      <c r="E11">
        <v>5</v>
      </c>
      <c r="F11">
        <v>11</v>
      </c>
      <c r="G11">
        <f>D11*E11*F11</f>
        <v>605</v>
      </c>
      <c r="H11">
        <v>1</v>
      </c>
      <c r="I11">
        <f>G11/2080</f>
        <v>0.29086538461538464</v>
      </c>
      <c r="J11" t="s">
        <v>56</v>
      </c>
    </row>
    <row r="12" spans="1:10" x14ac:dyDescent="0.2">
      <c r="A12" t="s">
        <v>60</v>
      </c>
      <c r="G12">
        <f>SUM(G8:G11)</f>
        <v>2420</v>
      </c>
      <c r="H12">
        <f>SUM(H8:H11)</f>
        <v>4</v>
      </c>
      <c r="I12">
        <f>SUM(I8:I11)</f>
        <v>1.1634615384615385</v>
      </c>
      <c r="J12" t="s">
        <v>61</v>
      </c>
    </row>
    <row r="14" spans="1:10" x14ac:dyDescent="0.2">
      <c r="A14" t="s">
        <v>62</v>
      </c>
      <c r="G14">
        <f>G6+G12</f>
        <v>5700</v>
      </c>
      <c r="H14">
        <v>4</v>
      </c>
      <c r="I14">
        <f>I6+I12</f>
        <v>2.7403846153846154</v>
      </c>
      <c r="J14" t="s">
        <v>63</v>
      </c>
    </row>
    <row r="16" spans="1:10" x14ac:dyDescent="0.2">
      <c r="A16" t="s">
        <v>64</v>
      </c>
      <c r="B16" t="s">
        <v>65</v>
      </c>
    </row>
    <row r="17" spans="1:4" x14ac:dyDescent="0.2">
      <c r="A17" t="s">
        <v>66</v>
      </c>
      <c r="B17" t="s">
        <v>67</v>
      </c>
      <c r="C17" t="s">
        <v>68</v>
      </c>
    </row>
    <row r="20" spans="1:4" x14ac:dyDescent="0.2">
      <c r="A20" t="s">
        <v>69</v>
      </c>
      <c r="C20" t="s">
        <v>70</v>
      </c>
      <c r="D20" t="s">
        <v>71</v>
      </c>
    </row>
    <row r="21" spans="1:4" x14ac:dyDescent="0.2">
      <c r="A21" t="s">
        <v>72</v>
      </c>
      <c r="B21" t="s">
        <v>73</v>
      </c>
      <c r="C21">
        <v>60</v>
      </c>
      <c r="D21">
        <v>30</v>
      </c>
    </row>
    <row r="22" spans="1:4" x14ac:dyDescent="0.2">
      <c r="A22" t="s">
        <v>74</v>
      </c>
      <c r="B22" t="s">
        <v>75</v>
      </c>
      <c r="C22">
        <v>20</v>
      </c>
      <c r="D22">
        <v>10</v>
      </c>
    </row>
    <row r="23" spans="1:4" x14ac:dyDescent="0.2">
      <c r="A23" t="s">
        <v>76</v>
      </c>
      <c r="B23" t="s">
        <v>77</v>
      </c>
      <c r="C23">
        <v>20</v>
      </c>
      <c r="D23">
        <v>10</v>
      </c>
    </row>
    <row r="24" spans="1:4" x14ac:dyDescent="0.2">
      <c r="C24">
        <v>100</v>
      </c>
      <c r="D24">
        <f>SUM(D21:D23)</f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zoomScale="140" zoomScaleNormal="14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9" width="20" customWidth="1"/>
  </cols>
  <sheetData>
    <row r="1" spans="1:9" x14ac:dyDescent="0.2">
      <c r="A1" s="1" t="s">
        <v>78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6</v>
      </c>
    </row>
    <row r="2" spans="1:9" x14ac:dyDescent="0.2">
      <c r="A2" t="s">
        <v>86</v>
      </c>
      <c r="B2">
        <v>1</v>
      </c>
      <c r="D2">
        <v>70000</v>
      </c>
      <c r="E2">
        <v>0.25</v>
      </c>
      <c r="F2">
        <f>D2*(1+E2+Assumptions!C8)</f>
        <v>93100</v>
      </c>
      <c r="G2" t="s">
        <v>87</v>
      </c>
      <c r="H2" t="s">
        <v>10</v>
      </c>
      <c r="I2" t="s">
        <v>88</v>
      </c>
    </row>
    <row r="3" spans="1:9" x14ac:dyDescent="0.2">
      <c r="A3" t="s">
        <v>89</v>
      </c>
      <c r="B3">
        <f>'Enrollment &amp; Staffing'!I14</f>
        <v>2.7403846153846154</v>
      </c>
      <c r="C3">
        <v>20</v>
      </c>
      <c r="D3">
        <f>B3*2080*C3</f>
        <v>114000</v>
      </c>
      <c r="E3">
        <v>0.18</v>
      </c>
      <c r="F3">
        <f>D3*(1+E3+Assumptions!C8)</f>
        <v>143640</v>
      </c>
      <c r="G3" t="s">
        <v>90</v>
      </c>
      <c r="H3" t="s">
        <v>10</v>
      </c>
      <c r="I3" t="s">
        <v>91</v>
      </c>
    </row>
    <row r="4" spans="1:9" x14ac:dyDescent="0.2">
      <c r="A4" t="s">
        <v>92</v>
      </c>
      <c r="B4">
        <f>IF('Enrollment &amp; Staffing'!F3&gt;0,'Enrollment &amp; Staffing'!F3,0)</f>
        <v>41</v>
      </c>
      <c r="C4">
        <v>22</v>
      </c>
      <c r="D4">
        <f>B4*2080*C4</f>
        <v>1876160</v>
      </c>
      <c r="E4">
        <v>0.18</v>
      </c>
      <c r="F4">
        <f>D4*(1+E4+Assumptions!C8)</f>
        <v>2363961.6</v>
      </c>
      <c r="G4" t="s">
        <v>93</v>
      </c>
      <c r="H4" t="s">
        <v>10</v>
      </c>
      <c r="I4" t="s">
        <v>94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3"/>
  <sheetViews>
    <sheetView zoomScale="140" zoomScaleNormal="140" workbookViewId="0">
      <pane ySplit="1" topLeftCell="A2" activePane="bottomLeft" state="frozen"/>
      <selection pane="bottomLeft" activeCell="C14" sqref="C14"/>
    </sheetView>
  </sheetViews>
  <sheetFormatPr baseColWidth="10" defaultColWidth="8.83203125" defaultRowHeight="15" x14ac:dyDescent="0.2"/>
  <cols>
    <col min="1" max="19" width="16" customWidth="1"/>
  </cols>
  <sheetData>
    <row r="1" spans="1:19" x14ac:dyDescent="0.2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  <c r="J1" s="1" t="s">
        <v>103</v>
      </c>
      <c r="K1" s="1" t="s">
        <v>104</v>
      </c>
      <c r="L1" s="1" t="s">
        <v>105</v>
      </c>
      <c r="M1" s="1" t="s">
        <v>106</v>
      </c>
      <c r="N1" s="1" t="s">
        <v>107</v>
      </c>
      <c r="O1" s="1" t="s">
        <v>108</v>
      </c>
      <c r="P1" s="1" t="s">
        <v>109</v>
      </c>
      <c r="Q1" s="1" t="s">
        <v>110</v>
      </c>
      <c r="R1" s="1" t="s">
        <v>85</v>
      </c>
      <c r="S1" s="1" t="s">
        <v>6</v>
      </c>
    </row>
    <row r="2" spans="1:19" x14ac:dyDescent="0.2">
      <c r="A2" t="s">
        <v>111</v>
      </c>
      <c r="B2" t="s">
        <v>86</v>
      </c>
      <c r="C2" t="s">
        <v>112</v>
      </c>
      <c r="D2" s="3">
        <f>'Staffing Costs'!F2/12</f>
        <v>7758.333333333333</v>
      </c>
      <c r="E2" s="3">
        <f>D2</f>
        <v>7758.333333333333</v>
      </c>
      <c r="F2" s="3">
        <f>D2</f>
        <v>7758.333333333333</v>
      </c>
      <c r="G2" s="3">
        <f>D2</f>
        <v>7758.333333333333</v>
      </c>
      <c r="H2" s="3">
        <f>D2</f>
        <v>7758.333333333333</v>
      </c>
      <c r="I2" s="3">
        <f>D2</f>
        <v>7758.333333333333</v>
      </c>
      <c r="J2" s="3">
        <f>D2</f>
        <v>7758.333333333333</v>
      </c>
      <c r="K2" s="3">
        <f>D2</f>
        <v>7758.333333333333</v>
      </c>
      <c r="L2" s="3">
        <f>D2</f>
        <v>7758.333333333333</v>
      </c>
      <c r="M2" s="3">
        <f>D2</f>
        <v>7758.333333333333</v>
      </c>
      <c r="N2" s="3">
        <f>D2</f>
        <v>7758.333333333333</v>
      </c>
      <c r="O2" s="3">
        <f>D2</f>
        <v>7758.333333333333</v>
      </c>
      <c r="P2" s="3">
        <f>D2</f>
        <v>7758.333333333333</v>
      </c>
      <c r="Q2" s="3">
        <f t="shared" ref="Q2:Q8" si="0">SUM(E2:P2)</f>
        <v>93099.999999999985</v>
      </c>
      <c r="R2" t="s">
        <v>10</v>
      </c>
      <c r="S2" t="s">
        <v>113</v>
      </c>
    </row>
    <row r="3" spans="1:19" x14ac:dyDescent="0.2">
      <c r="A3" t="s">
        <v>111</v>
      </c>
      <c r="B3" t="s">
        <v>114</v>
      </c>
      <c r="C3" t="s">
        <v>115</v>
      </c>
      <c r="D3" s="3">
        <f>'Staffing Costs'!F3/12</f>
        <v>11970</v>
      </c>
      <c r="E3" s="3">
        <f>D3</f>
        <v>11970</v>
      </c>
      <c r="F3" s="3">
        <f>D3</f>
        <v>11970</v>
      </c>
      <c r="G3" s="3">
        <f>D3</f>
        <v>11970</v>
      </c>
      <c r="H3" s="3">
        <f>D3</f>
        <v>11970</v>
      </c>
      <c r="I3" s="3">
        <f>D3</f>
        <v>11970</v>
      </c>
      <c r="J3" s="3">
        <f>D3</f>
        <v>11970</v>
      </c>
      <c r="K3" s="3">
        <f>D3</f>
        <v>11970</v>
      </c>
      <c r="L3" s="3">
        <f>D3</f>
        <v>11970</v>
      </c>
      <c r="M3" s="3">
        <f>D3</f>
        <v>11970</v>
      </c>
      <c r="N3" s="3">
        <f>D3</f>
        <v>11970</v>
      </c>
      <c r="O3" s="3">
        <f>D3</f>
        <v>11970</v>
      </c>
      <c r="P3" s="3">
        <f>D3</f>
        <v>11970</v>
      </c>
      <c r="Q3" s="3">
        <f t="shared" si="0"/>
        <v>143640</v>
      </c>
      <c r="R3" t="s">
        <v>10</v>
      </c>
      <c r="S3" t="s">
        <v>116</v>
      </c>
    </row>
    <row r="4" spans="1:19" x14ac:dyDescent="0.2">
      <c r="A4" t="s">
        <v>117</v>
      </c>
      <c r="B4" t="s">
        <v>118</v>
      </c>
      <c r="C4" t="s">
        <v>119</v>
      </c>
      <c r="D4" s="3">
        <v>0</v>
      </c>
      <c r="E4" s="3">
        <f>D4</f>
        <v>0</v>
      </c>
      <c r="F4" s="3">
        <f>D4</f>
        <v>0</v>
      </c>
      <c r="G4" s="3">
        <f>D4</f>
        <v>0</v>
      </c>
      <c r="H4" s="3">
        <f>D4</f>
        <v>0</v>
      </c>
      <c r="I4" s="3">
        <f>D4</f>
        <v>0</v>
      </c>
      <c r="J4" s="3">
        <f>D4</f>
        <v>0</v>
      </c>
      <c r="K4" s="3">
        <f>D4</f>
        <v>0</v>
      </c>
      <c r="L4" s="3">
        <f>D4</f>
        <v>0</v>
      </c>
      <c r="M4" s="3">
        <f>D4</f>
        <v>0</v>
      </c>
      <c r="N4" s="3">
        <f>D4</f>
        <v>0</v>
      </c>
      <c r="O4" s="3">
        <f>D4</f>
        <v>0</v>
      </c>
      <c r="P4" s="3">
        <f>D4</f>
        <v>0</v>
      </c>
      <c r="Q4" s="3">
        <f t="shared" si="0"/>
        <v>0</v>
      </c>
      <c r="R4" t="s">
        <v>10</v>
      </c>
      <c r="S4" t="s">
        <v>120</v>
      </c>
    </row>
    <row r="5" spans="1:19" x14ac:dyDescent="0.2">
      <c r="A5" t="s">
        <v>117</v>
      </c>
      <c r="B5" t="s">
        <v>121</v>
      </c>
      <c r="C5" t="s">
        <v>119</v>
      </c>
      <c r="D5" s="3">
        <v>400</v>
      </c>
      <c r="E5" s="3">
        <f>D5</f>
        <v>400</v>
      </c>
      <c r="F5" s="3">
        <f>D5</f>
        <v>400</v>
      </c>
      <c r="G5" s="3">
        <f>D5</f>
        <v>400</v>
      </c>
      <c r="H5" s="3">
        <f>D5</f>
        <v>400</v>
      </c>
      <c r="I5" s="3">
        <f>D5</f>
        <v>400</v>
      </c>
      <c r="J5" s="3">
        <f>D5</f>
        <v>400</v>
      </c>
      <c r="K5" s="3">
        <f>D5</f>
        <v>400</v>
      </c>
      <c r="L5" s="3">
        <f>D5</f>
        <v>400</v>
      </c>
      <c r="M5" s="3">
        <f>D5</f>
        <v>400</v>
      </c>
      <c r="N5" s="3">
        <f>D5</f>
        <v>400</v>
      </c>
      <c r="O5" s="3">
        <f>D5</f>
        <v>400</v>
      </c>
      <c r="P5" s="3">
        <f>D5</f>
        <v>400</v>
      </c>
      <c r="Q5" s="3">
        <f t="shared" si="0"/>
        <v>4800</v>
      </c>
      <c r="R5" t="s">
        <v>10</v>
      </c>
    </row>
    <row r="6" spans="1:19" x14ac:dyDescent="0.2">
      <c r="A6" t="s">
        <v>35</v>
      </c>
      <c r="B6" t="s">
        <v>122</v>
      </c>
      <c r="C6" t="s">
        <v>123</v>
      </c>
      <c r="D6" s="3">
        <v>0</v>
      </c>
      <c r="E6" s="3">
        <f>D6</f>
        <v>0</v>
      </c>
      <c r="F6" s="3">
        <f t="shared" ref="F6:P6" si="1">E6</f>
        <v>0</v>
      </c>
      <c r="G6" s="3">
        <f t="shared" si="1"/>
        <v>0</v>
      </c>
      <c r="H6" s="3">
        <f t="shared" si="1"/>
        <v>0</v>
      </c>
      <c r="I6" s="3">
        <f t="shared" si="1"/>
        <v>0</v>
      </c>
      <c r="J6" s="3">
        <f t="shared" si="1"/>
        <v>0</v>
      </c>
      <c r="K6" s="3">
        <f t="shared" si="1"/>
        <v>0</v>
      </c>
      <c r="L6" s="3">
        <f t="shared" si="1"/>
        <v>0</v>
      </c>
      <c r="M6" s="3">
        <f t="shared" si="1"/>
        <v>0</v>
      </c>
      <c r="N6" s="3">
        <f t="shared" si="1"/>
        <v>0</v>
      </c>
      <c r="O6" s="3">
        <f t="shared" si="1"/>
        <v>0</v>
      </c>
      <c r="P6" s="3">
        <f t="shared" si="1"/>
        <v>0</v>
      </c>
      <c r="Q6" s="3">
        <f t="shared" si="0"/>
        <v>0</v>
      </c>
      <c r="R6" t="s">
        <v>10</v>
      </c>
      <c r="S6" t="s">
        <v>124</v>
      </c>
    </row>
    <row r="7" spans="1:19" x14ac:dyDescent="0.2">
      <c r="A7" t="s">
        <v>35</v>
      </c>
      <c r="B7" t="s">
        <v>125</v>
      </c>
      <c r="C7" t="s">
        <v>126</v>
      </c>
      <c r="D7" s="3">
        <v>1600</v>
      </c>
      <c r="E7" s="3">
        <f>D7</f>
        <v>1600</v>
      </c>
      <c r="F7" s="3">
        <f t="shared" ref="F7:P7" si="2">E7</f>
        <v>1600</v>
      </c>
      <c r="G7" s="3">
        <f t="shared" si="2"/>
        <v>1600</v>
      </c>
      <c r="H7" s="3">
        <f t="shared" si="2"/>
        <v>1600</v>
      </c>
      <c r="I7" s="3">
        <f t="shared" si="2"/>
        <v>1600</v>
      </c>
      <c r="J7" s="3">
        <f t="shared" si="2"/>
        <v>1600</v>
      </c>
      <c r="K7" s="3">
        <f t="shared" si="2"/>
        <v>1600</v>
      </c>
      <c r="L7" s="3">
        <f t="shared" si="2"/>
        <v>1600</v>
      </c>
      <c r="M7" s="3">
        <f t="shared" si="2"/>
        <v>1600</v>
      </c>
      <c r="N7" s="3">
        <f t="shared" si="2"/>
        <v>1600</v>
      </c>
      <c r="O7" s="3">
        <f t="shared" si="2"/>
        <v>1600</v>
      </c>
      <c r="P7" s="3">
        <f t="shared" si="2"/>
        <v>1600</v>
      </c>
      <c r="Q7" s="3">
        <f t="shared" si="0"/>
        <v>19200</v>
      </c>
      <c r="R7" t="s">
        <v>10</v>
      </c>
      <c r="S7" t="s">
        <v>127</v>
      </c>
    </row>
    <row r="8" spans="1:19" x14ac:dyDescent="0.2">
      <c r="A8" t="s">
        <v>128</v>
      </c>
      <c r="B8" t="s">
        <v>129</v>
      </c>
      <c r="C8" t="s">
        <v>130</v>
      </c>
      <c r="D8" s="3">
        <v>2500</v>
      </c>
      <c r="E8" s="3">
        <f>D8</f>
        <v>2500</v>
      </c>
      <c r="F8" s="3">
        <f t="shared" ref="F8:P8" si="3">E8</f>
        <v>2500</v>
      </c>
      <c r="G8" s="3">
        <f t="shared" si="3"/>
        <v>2500</v>
      </c>
      <c r="H8" s="3">
        <f t="shared" si="3"/>
        <v>2500</v>
      </c>
      <c r="I8" s="3">
        <f t="shared" si="3"/>
        <v>2500</v>
      </c>
      <c r="J8" s="3">
        <f t="shared" si="3"/>
        <v>2500</v>
      </c>
      <c r="K8" s="3">
        <f t="shared" si="3"/>
        <v>2500</v>
      </c>
      <c r="L8" s="3">
        <f t="shared" si="3"/>
        <v>2500</v>
      </c>
      <c r="M8" s="3">
        <f t="shared" si="3"/>
        <v>2500</v>
      </c>
      <c r="N8" s="3">
        <f t="shared" si="3"/>
        <v>2500</v>
      </c>
      <c r="O8" s="3">
        <f t="shared" si="3"/>
        <v>2500</v>
      </c>
      <c r="P8" s="3">
        <f t="shared" si="3"/>
        <v>2500</v>
      </c>
      <c r="Q8" s="3">
        <f t="shared" si="0"/>
        <v>30000</v>
      </c>
      <c r="R8" t="s">
        <v>10</v>
      </c>
      <c r="S8" t="s">
        <v>131</v>
      </c>
    </row>
    <row r="9" spans="1:19" x14ac:dyDescent="0.2">
      <c r="D9" s="3">
        <f>SUM(D2:D8)</f>
        <v>24228.333333333332</v>
      </c>
      <c r="E9" s="3">
        <f t="shared" ref="E9:Q9" si="4">SUM(E2:E8)</f>
        <v>24228.333333333332</v>
      </c>
      <c r="F9" s="3">
        <f t="shared" si="4"/>
        <v>24228.333333333332</v>
      </c>
      <c r="G9" s="3">
        <f t="shared" si="4"/>
        <v>24228.333333333332</v>
      </c>
      <c r="H9" s="3">
        <f t="shared" si="4"/>
        <v>24228.333333333332</v>
      </c>
      <c r="I9" s="3">
        <f t="shared" si="4"/>
        <v>24228.333333333332</v>
      </c>
      <c r="J9" s="3">
        <f t="shared" si="4"/>
        <v>24228.333333333332</v>
      </c>
      <c r="K9" s="3">
        <f t="shared" si="4"/>
        <v>24228.333333333332</v>
      </c>
      <c r="L9" s="3">
        <f t="shared" si="4"/>
        <v>24228.333333333332</v>
      </c>
      <c r="M9" s="3">
        <f t="shared" si="4"/>
        <v>24228.333333333332</v>
      </c>
      <c r="N9" s="3">
        <f t="shared" si="4"/>
        <v>24228.333333333332</v>
      </c>
      <c r="O9" s="3">
        <f t="shared" si="4"/>
        <v>24228.333333333332</v>
      </c>
      <c r="P9" s="3">
        <f t="shared" si="4"/>
        <v>24228.333333333332</v>
      </c>
      <c r="Q9" s="3">
        <f t="shared" si="4"/>
        <v>290740</v>
      </c>
    </row>
    <row r="10" spans="1:19" x14ac:dyDescent="0.2">
      <c r="A10" t="s">
        <v>132</v>
      </c>
    </row>
    <row r="11" spans="1:19" x14ac:dyDescent="0.2">
      <c r="A11" t="s">
        <v>133</v>
      </c>
      <c r="B11">
        <v>50</v>
      </c>
      <c r="C11" s="4">
        <f>D9/B11</f>
        <v>484.56666666666666</v>
      </c>
    </row>
    <row r="12" spans="1:19" x14ac:dyDescent="0.2">
      <c r="A12" t="s">
        <v>134</v>
      </c>
      <c r="B12">
        <v>60</v>
      </c>
      <c r="C12" s="4">
        <f>D9/B12</f>
        <v>403.80555555555554</v>
      </c>
    </row>
    <row r="13" spans="1:19" x14ac:dyDescent="0.2">
      <c r="A13" t="s">
        <v>135</v>
      </c>
      <c r="B13">
        <v>90</v>
      </c>
      <c r="C13" s="4">
        <f>D9/B13</f>
        <v>269.2037037037037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7604-8037-9543-9F01-BECB0D73BC77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zoomScale="140" zoomScaleNormal="14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baseColWidth="10" defaultColWidth="8.83203125" defaultRowHeight="15" x14ac:dyDescent="0.2"/>
  <cols>
    <col min="1" max="18" width="15" customWidth="1"/>
  </cols>
  <sheetData>
    <row r="1" spans="1:18" x14ac:dyDescent="0.2">
      <c r="A1" s="1" t="s">
        <v>0</v>
      </c>
      <c r="B1" s="1" t="s">
        <v>95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110</v>
      </c>
      <c r="P1" s="1" t="s">
        <v>136</v>
      </c>
      <c r="Q1" s="1" t="s">
        <v>137</v>
      </c>
      <c r="R1" s="1" t="s">
        <v>6</v>
      </c>
    </row>
    <row r="2" spans="1:18" x14ac:dyDescent="0.2">
      <c r="A2" t="s">
        <v>138</v>
      </c>
      <c r="B2" t="s">
        <v>139</v>
      </c>
      <c r="C2">
        <f t="shared" ref="C2:N2" si="0">$B$11</f>
        <v>3541.6666666666665</v>
      </c>
      <c r="D2">
        <f t="shared" si="0"/>
        <v>3541.6666666666665</v>
      </c>
      <c r="E2">
        <f t="shared" si="0"/>
        <v>3541.6666666666665</v>
      </c>
      <c r="F2">
        <f t="shared" si="0"/>
        <v>3541.6666666666665</v>
      </c>
      <c r="G2">
        <f t="shared" si="0"/>
        <v>3541.6666666666665</v>
      </c>
      <c r="H2">
        <f t="shared" si="0"/>
        <v>3541.6666666666665</v>
      </c>
      <c r="I2">
        <f t="shared" si="0"/>
        <v>3541.6666666666665</v>
      </c>
      <c r="J2">
        <f t="shared" si="0"/>
        <v>3541.6666666666665</v>
      </c>
      <c r="K2">
        <f t="shared" si="0"/>
        <v>3541.6666666666665</v>
      </c>
      <c r="L2">
        <f t="shared" si="0"/>
        <v>3541.6666666666665</v>
      </c>
      <c r="M2">
        <f t="shared" si="0"/>
        <v>3541.6666666666665</v>
      </c>
      <c r="N2">
        <f t="shared" si="0"/>
        <v>3541.6666666666665</v>
      </c>
      <c r="O2">
        <f>SUM(C2:N2)</f>
        <v>42500</v>
      </c>
      <c r="P2" t="s">
        <v>140</v>
      </c>
      <c r="Q2" t="s">
        <v>141</v>
      </c>
      <c r="R2" t="s">
        <v>142</v>
      </c>
    </row>
    <row r="3" spans="1:18" x14ac:dyDescent="0.2">
      <c r="A3" t="s">
        <v>143</v>
      </c>
      <c r="B3" t="s">
        <v>144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SUM(C3:N3)</f>
        <v>0</v>
      </c>
      <c r="P3" t="s">
        <v>145</v>
      </c>
      <c r="Q3" t="s">
        <v>146</v>
      </c>
      <c r="R3" t="s">
        <v>147</v>
      </c>
    </row>
    <row r="4" spans="1:18" x14ac:dyDescent="0.2">
      <c r="A4" t="s">
        <v>148</v>
      </c>
      <c r="B4" t="s">
        <v>149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SUM(C4:N4)</f>
        <v>0</v>
      </c>
      <c r="P4" t="s">
        <v>145</v>
      </c>
      <c r="Q4" t="s">
        <v>141</v>
      </c>
      <c r="R4" t="s">
        <v>150</v>
      </c>
    </row>
    <row r="7" spans="1:18" x14ac:dyDescent="0.2">
      <c r="A7" t="s">
        <v>151</v>
      </c>
    </row>
    <row r="8" spans="1:18" x14ac:dyDescent="0.2">
      <c r="A8" t="s">
        <v>152</v>
      </c>
      <c r="B8">
        <v>425</v>
      </c>
    </row>
    <row r="9" spans="1:18" x14ac:dyDescent="0.2">
      <c r="A9" t="s">
        <v>153</v>
      </c>
      <c r="B9">
        <v>100</v>
      </c>
    </row>
    <row r="10" spans="1:18" x14ac:dyDescent="0.2">
      <c r="A10" t="s">
        <v>154</v>
      </c>
      <c r="B10">
        <f>B8*B9</f>
        <v>42500</v>
      </c>
    </row>
    <row r="11" spans="1:18" x14ac:dyDescent="0.2">
      <c r="A11" t="s">
        <v>155</v>
      </c>
      <c r="B11">
        <f>B10/12</f>
        <v>3541.6666666666665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9" width="18" customWidth="1"/>
  </cols>
  <sheetData>
    <row r="1" spans="1:9" x14ac:dyDescent="0.2">
      <c r="A1" s="1" t="s">
        <v>156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  <c r="H1" s="1" t="s">
        <v>163</v>
      </c>
      <c r="I1" s="1" t="s">
        <v>6</v>
      </c>
    </row>
    <row r="2" spans="1:9" x14ac:dyDescent="0.2">
      <c r="A2" t="s">
        <v>106</v>
      </c>
      <c r="B2">
        <f>Assumptions!C6</f>
        <v>0</v>
      </c>
      <c r="C2" t="e">
        <f>'Revenue Forecast'!B2+'Revenue Forecast'!B3+'Revenue Forecast'!B4</f>
        <v>#VALUE!</v>
      </c>
      <c r="D2">
        <f>'Expense Detail'!D2+'Expense Detail'!D3+'Expense Detail'!D4</f>
        <v>19728.333333333332</v>
      </c>
      <c r="E2" t="e">
        <f t="shared" ref="E2:E13" si="0">C2-D2</f>
        <v>#VALUE!</v>
      </c>
      <c r="F2" t="e">
        <f t="shared" ref="F2:F13" si="1">B2+E2</f>
        <v>#VALUE!</v>
      </c>
      <c r="G2">
        <f>Assumptions!C6*0.25</f>
        <v>0</v>
      </c>
      <c r="H2" t="e">
        <f t="shared" ref="H2:H13" si="2">F2-G2</f>
        <v>#VALUE!</v>
      </c>
      <c r="I2" t="s">
        <v>164</v>
      </c>
    </row>
    <row r="3" spans="1:9" x14ac:dyDescent="0.2">
      <c r="A3" t="s">
        <v>107</v>
      </c>
      <c r="B3" t="e">
        <f t="shared" ref="B3:B13" si="3">F2</f>
        <v>#VALUE!</v>
      </c>
      <c r="C3">
        <f>'Revenue Forecast'!C2+'Revenue Forecast'!C3+'Revenue Forecast'!C4</f>
        <v>3541.6666666666665</v>
      </c>
      <c r="D3">
        <f>'Expense Detail'!E2+'Expense Detail'!E3+'Expense Detail'!E4</f>
        <v>19728.333333333332</v>
      </c>
      <c r="E3">
        <f t="shared" si="0"/>
        <v>-16186.666666666666</v>
      </c>
      <c r="F3" t="e">
        <f t="shared" si="1"/>
        <v>#VALUE!</v>
      </c>
      <c r="G3">
        <f>Assumptions!C6*0.25</f>
        <v>0</v>
      </c>
      <c r="H3" t="e">
        <f t="shared" si="2"/>
        <v>#VALUE!</v>
      </c>
      <c r="I3" t="s">
        <v>164</v>
      </c>
    </row>
    <row r="4" spans="1:9" x14ac:dyDescent="0.2">
      <c r="A4" t="s">
        <v>108</v>
      </c>
      <c r="B4" t="e">
        <f t="shared" si="3"/>
        <v>#VALUE!</v>
      </c>
      <c r="C4">
        <f>'Revenue Forecast'!D2+'Revenue Forecast'!D3+'Revenue Forecast'!D4</f>
        <v>3541.6666666666665</v>
      </c>
      <c r="D4">
        <f>'Expense Detail'!F2+'Expense Detail'!F3+'Expense Detail'!F4</f>
        <v>19728.333333333332</v>
      </c>
      <c r="E4">
        <f t="shared" si="0"/>
        <v>-16186.666666666666</v>
      </c>
      <c r="F4" t="e">
        <f t="shared" si="1"/>
        <v>#VALUE!</v>
      </c>
      <c r="G4">
        <f>Assumptions!C6*0.25</f>
        <v>0</v>
      </c>
      <c r="H4" t="e">
        <f t="shared" si="2"/>
        <v>#VALUE!</v>
      </c>
      <c r="I4" t="s">
        <v>164</v>
      </c>
    </row>
    <row r="5" spans="1:9" x14ac:dyDescent="0.2">
      <c r="A5" t="s">
        <v>109</v>
      </c>
      <c r="B5" t="e">
        <f t="shared" si="3"/>
        <v>#VALUE!</v>
      </c>
      <c r="C5">
        <f>'Revenue Forecast'!E2+'Revenue Forecast'!E3+'Revenue Forecast'!E4</f>
        <v>3541.6666666666665</v>
      </c>
      <c r="D5">
        <f>'Expense Detail'!G2+'Expense Detail'!G3+'Expense Detail'!G4</f>
        <v>19728.333333333332</v>
      </c>
      <c r="E5">
        <f t="shared" si="0"/>
        <v>-16186.666666666666</v>
      </c>
      <c r="F5" t="e">
        <f t="shared" si="1"/>
        <v>#VALUE!</v>
      </c>
      <c r="G5">
        <f>Assumptions!C6*0.25</f>
        <v>0</v>
      </c>
      <c r="H5" t="e">
        <f t="shared" si="2"/>
        <v>#VALUE!</v>
      </c>
      <c r="I5" t="s">
        <v>164</v>
      </c>
    </row>
    <row r="6" spans="1:9" x14ac:dyDescent="0.2">
      <c r="A6" t="s">
        <v>98</v>
      </c>
      <c r="B6" t="e">
        <f t="shared" si="3"/>
        <v>#VALUE!</v>
      </c>
      <c r="C6">
        <f>'Revenue Forecast'!F2+'Revenue Forecast'!F3+'Revenue Forecast'!F4</f>
        <v>3541.6666666666665</v>
      </c>
      <c r="D6">
        <f>'Expense Detail'!H2+'Expense Detail'!H3+'Expense Detail'!H4</f>
        <v>19728.333333333332</v>
      </c>
      <c r="E6">
        <f t="shared" si="0"/>
        <v>-16186.666666666666</v>
      </c>
      <c r="F6" t="e">
        <f t="shared" si="1"/>
        <v>#VALUE!</v>
      </c>
      <c r="G6">
        <f>Assumptions!C6*0.25</f>
        <v>0</v>
      </c>
      <c r="H6" t="e">
        <f t="shared" si="2"/>
        <v>#VALUE!</v>
      </c>
      <c r="I6" t="s">
        <v>164</v>
      </c>
    </row>
    <row r="7" spans="1:9" x14ac:dyDescent="0.2">
      <c r="A7" t="s">
        <v>99</v>
      </c>
      <c r="B7" t="e">
        <f t="shared" si="3"/>
        <v>#VALUE!</v>
      </c>
      <c r="C7">
        <f>'Revenue Forecast'!G2+'Revenue Forecast'!G3+'Revenue Forecast'!G4</f>
        <v>3541.6666666666665</v>
      </c>
      <c r="D7">
        <f>'Expense Detail'!I2+'Expense Detail'!I3+'Expense Detail'!I4</f>
        <v>19728.333333333332</v>
      </c>
      <c r="E7">
        <f t="shared" si="0"/>
        <v>-16186.666666666666</v>
      </c>
      <c r="F7" t="e">
        <f t="shared" si="1"/>
        <v>#VALUE!</v>
      </c>
      <c r="G7">
        <f>Assumptions!C6*0.25</f>
        <v>0</v>
      </c>
      <c r="H7" t="e">
        <f t="shared" si="2"/>
        <v>#VALUE!</v>
      </c>
      <c r="I7" t="s">
        <v>164</v>
      </c>
    </row>
    <row r="8" spans="1:9" x14ac:dyDescent="0.2">
      <c r="A8" t="s">
        <v>100</v>
      </c>
      <c r="B8" t="e">
        <f t="shared" si="3"/>
        <v>#VALUE!</v>
      </c>
      <c r="C8">
        <f>'Revenue Forecast'!H2+'Revenue Forecast'!H3+'Revenue Forecast'!H4</f>
        <v>3541.6666666666665</v>
      </c>
      <c r="D8">
        <f>'Expense Detail'!J2+'Expense Detail'!J3+'Expense Detail'!J4</f>
        <v>19728.333333333332</v>
      </c>
      <c r="E8">
        <f t="shared" si="0"/>
        <v>-16186.666666666666</v>
      </c>
      <c r="F8" t="e">
        <f t="shared" si="1"/>
        <v>#VALUE!</v>
      </c>
      <c r="G8">
        <f>Assumptions!C6*0.25</f>
        <v>0</v>
      </c>
      <c r="H8" t="e">
        <f t="shared" si="2"/>
        <v>#VALUE!</v>
      </c>
      <c r="I8" t="s">
        <v>164</v>
      </c>
    </row>
    <row r="9" spans="1:9" x14ac:dyDescent="0.2">
      <c r="A9" t="s">
        <v>101</v>
      </c>
      <c r="B9" t="e">
        <f t="shared" si="3"/>
        <v>#VALUE!</v>
      </c>
      <c r="C9">
        <f>'Revenue Forecast'!I2+'Revenue Forecast'!I3+'Revenue Forecast'!I4</f>
        <v>3541.6666666666665</v>
      </c>
      <c r="D9">
        <f>'Expense Detail'!K2+'Expense Detail'!K3+'Expense Detail'!K4</f>
        <v>19728.333333333332</v>
      </c>
      <c r="E9">
        <f t="shared" si="0"/>
        <v>-16186.666666666666</v>
      </c>
      <c r="F9" t="e">
        <f t="shared" si="1"/>
        <v>#VALUE!</v>
      </c>
      <c r="G9">
        <f>Assumptions!C6*0.25</f>
        <v>0</v>
      </c>
      <c r="H9" t="e">
        <f t="shared" si="2"/>
        <v>#VALUE!</v>
      </c>
      <c r="I9" t="s">
        <v>164</v>
      </c>
    </row>
    <row r="10" spans="1:9" x14ac:dyDescent="0.2">
      <c r="A10" t="s">
        <v>102</v>
      </c>
      <c r="B10" t="e">
        <f t="shared" si="3"/>
        <v>#VALUE!</v>
      </c>
      <c r="C10">
        <f>'Revenue Forecast'!J2+'Revenue Forecast'!J3+'Revenue Forecast'!J4</f>
        <v>3541.6666666666665</v>
      </c>
      <c r="D10">
        <f>'Expense Detail'!L2+'Expense Detail'!L3+'Expense Detail'!L4</f>
        <v>19728.333333333332</v>
      </c>
      <c r="E10">
        <f t="shared" si="0"/>
        <v>-16186.666666666666</v>
      </c>
      <c r="F10" t="e">
        <f t="shared" si="1"/>
        <v>#VALUE!</v>
      </c>
      <c r="G10">
        <f>Assumptions!C6*0.25</f>
        <v>0</v>
      </c>
      <c r="H10" t="e">
        <f t="shared" si="2"/>
        <v>#VALUE!</v>
      </c>
      <c r="I10" t="s">
        <v>164</v>
      </c>
    </row>
    <row r="11" spans="1:9" x14ac:dyDescent="0.2">
      <c r="A11" t="s">
        <v>103</v>
      </c>
      <c r="B11" t="e">
        <f t="shared" si="3"/>
        <v>#VALUE!</v>
      </c>
      <c r="C11">
        <f>'Revenue Forecast'!K2+'Revenue Forecast'!K3+'Revenue Forecast'!K4</f>
        <v>3541.6666666666665</v>
      </c>
      <c r="D11">
        <f>'Expense Detail'!M2+'Expense Detail'!M3+'Expense Detail'!M4</f>
        <v>19728.333333333332</v>
      </c>
      <c r="E11">
        <f t="shared" si="0"/>
        <v>-16186.666666666666</v>
      </c>
      <c r="F11" t="e">
        <f t="shared" si="1"/>
        <v>#VALUE!</v>
      </c>
      <c r="G11">
        <f>Assumptions!C6*0.25</f>
        <v>0</v>
      </c>
      <c r="H11" t="e">
        <f t="shared" si="2"/>
        <v>#VALUE!</v>
      </c>
      <c r="I11" t="s">
        <v>164</v>
      </c>
    </row>
    <row r="12" spans="1:9" x14ac:dyDescent="0.2">
      <c r="A12" t="s">
        <v>104</v>
      </c>
      <c r="B12" t="e">
        <f t="shared" si="3"/>
        <v>#VALUE!</v>
      </c>
      <c r="C12">
        <f>'Revenue Forecast'!L2+'Revenue Forecast'!L3+'Revenue Forecast'!L4</f>
        <v>3541.6666666666665</v>
      </c>
      <c r="D12">
        <f>'Expense Detail'!N2+'Expense Detail'!N3+'Expense Detail'!N4</f>
        <v>19728.333333333332</v>
      </c>
      <c r="E12">
        <f t="shared" si="0"/>
        <v>-16186.666666666666</v>
      </c>
      <c r="F12" t="e">
        <f t="shared" si="1"/>
        <v>#VALUE!</v>
      </c>
      <c r="G12">
        <f>Assumptions!C6*0.25</f>
        <v>0</v>
      </c>
      <c r="H12" t="e">
        <f t="shared" si="2"/>
        <v>#VALUE!</v>
      </c>
      <c r="I12" t="s">
        <v>164</v>
      </c>
    </row>
    <row r="13" spans="1:9" x14ac:dyDescent="0.2">
      <c r="A13" t="s">
        <v>105</v>
      </c>
      <c r="B13" t="e">
        <f t="shared" si="3"/>
        <v>#VALUE!</v>
      </c>
      <c r="C13">
        <f>'Revenue Forecast'!M2+'Revenue Forecast'!M3+'Revenue Forecast'!M4</f>
        <v>3541.6666666666665</v>
      </c>
      <c r="D13">
        <f>'Expense Detail'!O2+'Expense Detail'!O3+'Expense Detail'!O4</f>
        <v>19728.333333333332</v>
      </c>
      <c r="E13">
        <f t="shared" si="0"/>
        <v>-16186.666666666666</v>
      </c>
      <c r="F13" t="e">
        <f t="shared" si="1"/>
        <v>#VALUE!</v>
      </c>
      <c r="G13">
        <f>Assumptions!C6*0.25</f>
        <v>0</v>
      </c>
      <c r="H13" t="e">
        <f t="shared" si="2"/>
        <v>#VALUE!</v>
      </c>
      <c r="I13" t="s">
        <v>164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6" width="20" customWidth="1"/>
  </cols>
  <sheetData>
    <row r="1" spans="1:6" x14ac:dyDescent="0.2">
      <c r="A1" s="1" t="s">
        <v>165</v>
      </c>
      <c r="B1" s="1" t="s">
        <v>166</v>
      </c>
      <c r="C1" s="1" t="s">
        <v>167</v>
      </c>
      <c r="D1" s="1" t="s">
        <v>168</v>
      </c>
      <c r="E1" s="1" t="s">
        <v>169</v>
      </c>
      <c r="F1" s="1" t="s">
        <v>6</v>
      </c>
    </row>
    <row r="2" spans="1:6" x14ac:dyDescent="0.2">
      <c r="A2" t="s">
        <v>170</v>
      </c>
      <c r="B2">
        <v>1</v>
      </c>
      <c r="C2">
        <v>1</v>
      </c>
      <c r="D2">
        <v>1</v>
      </c>
      <c r="E2">
        <f>'Revenue Forecast'!O2+'Revenue Forecast'!O3+'Revenue Forecast'!O4-'Expense Detail'!Q2-'Expense Detail'!Q3-'Expense Detail'!Q4</f>
        <v>-194240</v>
      </c>
      <c r="F2" t="s">
        <v>171</v>
      </c>
    </row>
    <row r="3" spans="1:6" x14ac:dyDescent="0.2">
      <c r="A3" t="s">
        <v>172</v>
      </c>
      <c r="B3">
        <v>0.9</v>
      </c>
      <c r="C3">
        <v>0.95</v>
      </c>
      <c r="D3">
        <v>1.02</v>
      </c>
      <c r="E3">
        <f>B3*('Revenue Forecast'!O2+'Revenue Forecast'!O3+'Revenue Forecast'!O4)-(C3*'Expense Detail'!Q2 + C3*'Expense Detail'!Q3 + D3*'Expense Detail'!Q4)</f>
        <v>-186653</v>
      </c>
      <c r="F3" t="s">
        <v>173</v>
      </c>
    </row>
    <row r="4" spans="1:6" x14ac:dyDescent="0.2">
      <c r="A4" t="s">
        <v>174</v>
      </c>
      <c r="B4">
        <v>1.1000000000000001</v>
      </c>
      <c r="C4">
        <v>1.05</v>
      </c>
      <c r="D4">
        <v>0.98</v>
      </c>
      <c r="E4">
        <f>B4*('Revenue Forecast'!O2+'Revenue Forecast'!O3+'Revenue Forecast'!O4)-(C4*'Expense Detail'!Q2 + C4*'Expense Detail'!Q3 + D4*'Expense Detail'!Q4)</f>
        <v>-201827</v>
      </c>
      <c r="F4" t="s">
        <v>175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"/>
  <sheetViews>
    <sheetView zoomScale="150" zoomScaleNormal="150" workbookViewId="0">
      <pane ySplit="1" topLeftCell="A2" activePane="bottomLeft" state="frozen"/>
      <selection pane="bottomLeft" activeCell="B11" sqref="B11"/>
    </sheetView>
  </sheetViews>
  <sheetFormatPr baseColWidth="10" defaultColWidth="8.83203125" defaultRowHeight="15" x14ac:dyDescent="0.2"/>
  <cols>
    <col min="1" max="5" width="24" customWidth="1"/>
  </cols>
  <sheetData>
    <row r="1" spans="1:5" x14ac:dyDescent="0.2">
      <c r="A1" s="1" t="s">
        <v>176</v>
      </c>
      <c r="B1" s="1" t="s">
        <v>5</v>
      </c>
      <c r="C1" s="1" t="s">
        <v>4</v>
      </c>
      <c r="D1" s="1" t="s">
        <v>177</v>
      </c>
      <c r="E1" s="1" t="s">
        <v>6</v>
      </c>
    </row>
    <row r="2" spans="1:5" x14ac:dyDescent="0.2">
      <c r="A2" t="s">
        <v>178</v>
      </c>
      <c r="B2" t="s">
        <v>11</v>
      </c>
      <c r="C2" t="s">
        <v>179</v>
      </c>
    </row>
    <row r="3" spans="1:5" x14ac:dyDescent="0.2">
      <c r="A3" t="s">
        <v>180</v>
      </c>
      <c r="B3" t="s">
        <v>20</v>
      </c>
      <c r="C3" t="s">
        <v>181</v>
      </c>
    </row>
    <row r="4" spans="1:5" x14ac:dyDescent="0.2">
      <c r="A4" t="s">
        <v>182</v>
      </c>
      <c r="B4" t="s">
        <v>25</v>
      </c>
      <c r="C4" t="s">
        <v>181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Assumptions</vt:lpstr>
      <vt:lpstr>Enrollment &amp; Staffing</vt:lpstr>
      <vt:lpstr>Staffing Costs</vt:lpstr>
      <vt:lpstr>Expense Detail</vt:lpstr>
      <vt:lpstr>Sheet1</vt:lpstr>
      <vt:lpstr>Revenue Forecast</vt:lpstr>
      <vt:lpstr>Cash Flow</vt:lpstr>
      <vt:lpstr>Scenario Analysis</vt:lpstr>
      <vt:lpstr>Checklist</vt:lpstr>
      <vt:lpstr>FiscalYearEnd</vt:lpstr>
      <vt:lpstr>FiscalYearStart</vt:lpstr>
      <vt:lpstr>InflationRate</vt:lpstr>
      <vt:lpstr>OperatingDays</vt:lpstr>
      <vt:lpstr>PayrollTaxesRate</vt:lpstr>
      <vt:lpstr>ProgramHoursPerWeek</vt:lpstr>
      <vt:lpstr>StaffBenefitsRate</vt:lpstr>
      <vt:lpstr>StartingCash</vt:lpstr>
      <vt:lpstr>UtilitiesInflationRate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Scott Novis</cp:lastModifiedBy>
  <dcterms:created xsi:type="dcterms:W3CDTF">2025-10-27T03:39:15Z</dcterms:created>
  <dcterms:modified xsi:type="dcterms:W3CDTF">2025-10-27T23:12:49Z</dcterms:modified>
</cp:coreProperties>
</file>