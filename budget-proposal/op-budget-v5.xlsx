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700" yWindow="4120" windowWidth="24540" windowHeight="19440" tabRatio="600" firstSheet="0" activeTab="1" autoFilterDateGrouping="1"/>
  </bookViews>
  <sheets>
    <sheet name="Assumptions" sheetId="1" state="visible" r:id="rId1"/>
    <sheet name="Enrollment &amp; Staffing" sheetId="2" state="visible" r:id="rId2"/>
    <sheet name="Staffing Costs" sheetId="3" state="visible" r:id="rId3"/>
    <sheet name="Expense Detail" sheetId="4" state="visible" r:id="rId4"/>
    <sheet name="Sheet1" sheetId="5" state="visible" r:id="rId5"/>
    <sheet name="Revenue Forecast" sheetId="6" state="visible" r:id="rId6"/>
    <sheet name="Cash Flow" sheetId="7" state="visible" r:id="rId7"/>
    <sheet name="Scenario Analysis" sheetId="8" state="visible" r:id="rId8"/>
    <sheet name="Checklist" sheetId="9" state="visible" r:id="rId9"/>
    <sheet name="Operations &amp; Staffing Schedule" sheetId="10" state="visible" r:id="rId10"/>
  </sheets>
  <definedNames>
    <definedName name="FiscalYearEnd">Assumptions!$C$3</definedName>
    <definedName name="FiscalYearStart">Assumptions!$C$2</definedName>
    <definedName name="InflationRate">Assumptions!$C$9</definedName>
    <definedName name="OperatingDays">Assumptions!$C$4</definedName>
    <definedName name="PayrollTaxesRate">Assumptions!$C$8</definedName>
    <definedName name="ProgramHoursPerWeek">Assumptions!$C$5</definedName>
    <definedName name="StaffBenefitsRate">Assumptions!$C$7</definedName>
    <definedName name="StartingCash">Assumptions!$C$6</definedName>
    <definedName name="UtilitiesInflationRate">Assumptions!$C$10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_(&quot;$&quot;* #,##0.00_);_(&quot;$&quot;* \(#,##0.00\);_(&quot;$&quot;* &quot;-&quot;??_);_(@_)"/>
    <numFmt numFmtId="166" formatCode="$#,##0.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b val="1"/>
    </font>
    <font>
      <b val="1"/>
      <color rgb="000000FF"/>
    </font>
    <font>
      <i val="1"/>
      <sz val="9"/>
    </font>
    <font>
      <i val="1"/>
    </font>
    <font>
      <i val="1"/>
      <color rgb="000000FF"/>
    </font>
    <font>
      <b val="1"/>
      <sz val="16"/>
    </font>
    <font>
      <b val="1"/>
      <color rgb="00FFFFFF"/>
      <sz val="16"/>
    </font>
    <font>
      <b val="1"/>
      <color rgb="00FFFFFF"/>
      <sz val="12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E7E6E6"/>
        <bgColor rgb="00E7E6E6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8CBAD"/>
        <bgColor rgb="00F8CBAD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4" fontId="2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65" fontId="0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166" fontId="3" fillId="3" borderId="0" pivotButton="0" quotePrefix="0" xfId="0"/>
    <xf numFmtId="0" fontId="4" fillId="0" borderId="0" pivotButton="0" quotePrefix="0" xfId="0"/>
    <xf numFmtId="166" fontId="4" fillId="4" borderId="0" pivotButton="0" quotePrefix="0" xfId="0"/>
    <xf numFmtId="165" fontId="0" fillId="0" borderId="0" pivotButton="0" quotePrefix="0" xfId="1"/>
    <xf numFmtId="165" fontId="0" fillId="0" borderId="0" pivotButton="0" quotePrefix="0" xfId="0"/>
    <xf numFmtId="0" fontId="3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9" fillId="10" borderId="0" pivotButton="0" quotePrefix="0" xfId="0"/>
    <xf numFmtId="0" fontId="10" fillId="2" borderId="0" pivotButton="0" quotePrefix="0" xfId="0"/>
    <xf numFmtId="0" fontId="10" fillId="11" borderId="0" pivotButton="0" quotePrefix="0" xfId="0"/>
    <xf numFmtId="0" fontId="11" fillId="4" borderId="0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FFFBE5"/>
          <bgColor rgb="FFFFFB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Assumptions" displayName="TblAssumptions" ref="A1:G10" headerRowCount="1">
  <autoFilter ref="A1:G10"/>
  <tableColumns count="7">
    <tableColumn id="1" name="Category"/>
    <tableColumn id="2" name="Driver"/>
    <tableColumn id="3" name="Value"/>
    <tableColumn id="4" name="Units"/>
    <tableColumn id="5" name="Status"/>
    <tableColumn id="6" name="Owner"/>
    <tableColumn id="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taffingCosts" displayName="TblStaffingCosts" ref="A1:I4" headerRowCount="1">
  <autoFilter ref="A1:I4"/>
  <tableColumns count="9">
    <tableColumn id="1" name="Role"/>
    <tableColumn id="2" name="FTE"/>
    <tableColumn id="3" name="Hourly Rate"/>
    <tableColumn id="4" name="Annual Salary"/>
    <tableColumn id="5" name="Benefits %"/>
    <tableColumn id="6" name="Total Compensation"/>
    <tableColumn id="7" name="Funding Source"/>
    <tableColumn id="8" name="Placeholder?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cenarioAnalysis" displayName="TblScenarioAnalysis" ref="A1:F4" headerRowCount="1">
  <autoFilter ref="A1:F4"/>
  <tableColumns count="6">
    <tableColumn id="1" name="Scenario"/>
    <tableColumn id="2" name="Revenue Multiplier"/>
    <tableColumn id="3" name="Enrollment Multiplier"/>
    <tableColumn id="4" name="Expense Escalation"/>
    <tableColumn id="5" name="Projected Surplus/Deficit"/>
    <tableColumn id="6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hecklist" displayName="TblChecklist" ref="A1:E4" headerRowCount="1">
  <autoFilter ref="A1:E4"/>
  <tableColumns count="5">
    <tableColumn id="1" name="Item"/>
    <tableColumn id="2" name="Owner"/>
    <tableColumn id="3" name="Status"/>
    <tableColumn id="4" name="Due Date"/>
    <tableColumn id="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150" zoomScaleNormal="150" workbookViewId="0">
      <pane ySplit="1" topLeftCell="A2" activePane="bottomLeft" state="frozen"/>
      <selection pane="bottomLeft" activeCell="B8" sqref="B8"/>
    </sheetView>
  </sheetViews>
  <sheetFormatPr baseColWidth="10" defaultColWidth="8.83203125" defaultRowHeight="15"/>
  <cols>
    <col width="20" customWidth="1" min="1" max="7"/>
  </cols>
  <sheetData>
    <row r="1">
      <c r="A1" s="1" t="inlineStr">
        <is>
          <t>Category</t>
        </is>
      </c>
      <c r="B1" s="1" t="inlineStr">
        <is>
          <t>Driver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Notes</t>
        </is>
      </c>
    </row>
    <row r="2">
      <c r="A2" t="inlineStr">
        <is>
          <t>Fiscal Settings</t>
        </is>
      </c>
      <c r="B2" t="inlineStr">
        <is>
          <t>FiscalYearStart</t>
        </is>
      </c>
      <c r="C2" s="2" t="n">
        <v>45962</v>
      </c>
      <c r="D2" t="inlineStr">
        <is>
          <t>date</t>
        </is>
      </c>
      <c r="E2" t="inlineStr">
        <is>
          <t>Placeholder</t>
        </is>
      </c>
      <c r="F2" t="inlineStr">
        <is>
          <t>Matthew</t>
        </is>
      </c>
      <c r="G2" t="inlineStr">
        <is>
          <t>Confirm with City</t>
        </is>
      </c>
    </row>
    <row r="3">
      <c r="A3" t="inlineStr">
        <is>
          <t>Fiscal Settings</t>
        </is>
      </c>
      <c r="B3" t="inlineStr">
        <is>
          <t>FiscalYearEnd</t>
        </is>
      </c>
      <c r="C3" s="2" t="n">
        <v>46326</v>
      </c>
      <c r="D3" t="inlineStr">
        <is>
          <t>date</t>
        </is>
      </c>
      <c r="E3" t="inlineStr">
        <is>
          <t>Placeholder</t>
        </is>
      </c>
      <c r="F3" t="inlineStr">
        <is>
          <t>Matthew</t>
        </is>
      </c>
      <c r="G3" t="inlineStr">
        <is>
          <t>Confirm with City</t>
        </is>
      </c>
    </row>
    <row r="4">
      <c r="A4" t="inlineStr">
        <is>
          <t>Operations</t>
        </is>
      </c>
      <c r="B4" t="inlineStr">
        <is>
          <t>OperatingDays</t>
        </is>
      </c>
      <c r="C4">
        <f>NETWORKDAYS(FiscalYearStart,FiscalYearEnd)</f>
        <v/>
      </c>
      <c r="D4" t="inlineStr">
        <is>
          <t>days</t>
        </is>
      </c>
      <c r="E4" t="inlineStr">
        <is>
          <t>Placeholder</t>
        </is>
      </c>
      <c r="F4" t="inlineStr">
        <is>
          <t>Matthew</t>
        </is>
      </c>
      <c r="G4" t="inlineStr">
        <is>
          <t>NETWORKDAYS once holiday list ready</t>
        </is>
      </c>
    </row>
    <row r="5">
      <c r="A5" t="inlineStr">
        <is>
          <t>Operations</t>
        </is>
      </c>
      <c r="B5" t="inlineStr">
        <is>
          <t>ProgramHoursPerWeek</t>
        </is>
      </c>
      <c r="C5" t="n">
        <v>35</v>
      </c>
      <c r="D5" t="inlineStr">
        <is>
          <t>hours</t>
        </is>
      </c>
      <c r="E5" t="inlineStr">
        <is>
          <t>Placeholder</t>
        </is>
      </c>
      <c r="F5" t="inlineStr">
        <is>
          <t>Program Lead</t>
        </is>
      </c>
      <c r="G5" t="inlineStr">
        <is>
          <t>Update after schedule planning</t>
        </is>
      </c>
    </row>
    <row r="6">
      <c r="A6" t="inlineStr">
        <is>
          <t>Finance</t>
        </is>
      </c>
      <c r="B6" t="inlineStr">
        <is>
          <t>StartingCash</t>
        </is>
      </c>
      <c r="C6" t="n">
        <v>0</v>
      </c>
      <c r="D6" t="inlineStr">
        <is>
          <t>USD</t>
        </is>
      </c>
      <c r="E6" t="inlineStr">
        <is>
          <t>Placeholder</t>
        </is>
      </c>
      <c r="F6" t="inlineStr">
        <is>
          <t>City</t>
        </is>
      </c>
      <c r="G6" t="inlineStr">
        <is>
          <t>Confirm start-up funding</t>
        </is>
      </c>
    </row>
    <row r="7">
      <c r="A7" t="inlineStr">
        <is>
          <t>HR</t>
        </is>
      </c>
      <c r="B7" t="inlineStr">
        <is>
          <t>StaffBenefitsRate</t>
        </is>
      </c>
      <c r="C7" t="n">
        <v>0.18</v>
      </c>
      <c r="D7" t="inlineStr">
        <is>
          <t>%</t>
        </is>
      </c>
      <c r="E7" t="inlineStr">
        <is>
          <t>Placeholder</t>
        </is>
      </c>
      <c r="F7" t="inlineStr">
        <is>
          <t>HR</t>
        </is>
      </c>
      <c r="G7" t="inlineStr">
        <is>
          <t>Include health &amp; retirement</t>
        </is>
      </c>
    </row>
    <row r="8">
      <c r="A8" t="inlineStr">
        <is>
          <t>HR</t>
        </is>
      </c>
      <c r="B8" t="inlineStr">
        <is>
          <t>PayrollTaxesRate</t>
        </is>
      </c>
      <c r="C8" t="n">
        <v>0.08</v>
      </c>
      <c r="D8" t="inlineStr">
        <is>
          <t>%</t>
        </is>
      </c>
      <c r="E8" t="inlineStr">
        <is>
          <t>Placeholder</t>
        </is>
      </c>
      <c r="F8" t="inlineStr">
        <is>
          <t>Finance</t>
        </is>
      </c>
      <c r="G8" t="inlineStr">
        <is>
          <t>Confirm employer tax load</t>
        </is>
      </c>
    </row>
    <row r="9">
      <c r="A9" t="inlineStr">
        <is>
          <t>Finance</t>
        </is>
      </c>
      <c r="B9" t="inlineStr">
        <is>
          <t>InflationRate</t>
        </is>
      </c>
      <c r="C9" t="n">
        <v>0.03</v>
      </c>
      <c r="D9" t="inlineStr">
        <is>
          <t>%</t>
        </is>
      </c>
      <c r="E9" t="inlineStr">
        <is>
          <t>Placeholder</t>
        </is>
      </c>
      <c r="F9" t="inlineStr">
        <is>
          <t>Finance</t>
        </is>
      </c>
      <c r="G9" t="inlineStr">
        <is>
          <t>General inflation assumption</t>
        </is>
      </c>
    </row>
    <row r="10">
      <c r="A10" t="inlineStr">
        <is>
          <t>Facilities</t>
        </is>
      </c>
      <c r="B10" t="inlineStr">
        <is>
          <t>UtilitiesInflationRate</t>
        </is>
      </c>
      <c r="C10" t="n">
        <v>0.04</v>
      </c>
      <c r="D10" t="inlineStr">
        <is>
          <t>%</t>
        </is>
      </c>
      <c r="E10" t="inlineStr">
        <is>
          <t>Placeholder</t>
        </is>
      </c>
      <c r="F10" t="inlineStr">
        <is>
          <t>Facilities</t>
        </is>
      </c>
      <c r="G10" t="inlineStr">
        <is>
          <t>Energy costs trending</t>
        </is>
      </c>
    </row>
  </sheetData>
  <conditionalFormatting sqref="E2:E10">
    <cfRule type="expression" priority="1" dxfId="0">
      <formula>$E2="Placeholder"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zoomScale="150" zoomScaleNormal="150" workbookViewId="0">
      <pane ySplit="1" topLeftCell="A2" activePane="bottomLeft" state="frozen"/>
      <selection pane="bottomLeft" activeCell="C26" sqref="C26"/>
    </sheetView>
  </sheetViews>
  <sheetFormatPr baseColWidth="10" defaultColWidth="8.83203125" defaultRowHeight="15"/>
  <cols>
    <col width="22" customWidth="1" min="1" max="1"/>
    <col width="11" customWidth="1" min="2" max="2"/>
    <col width="9.83203125" customWidth="1" min="3" max="3"/>
    <col width="17.5" customWidth="1" min="4" max="4"/>
    <col width="22" customWidth="1" min="5" max="9"/>
  </cols>
  <sheetData>
    <row r="1">
      <c r="A1" s="12" t="inlineStr">
        <is>
          <t>Period</t>
        </is>
      </c>
      <c r="B1" s="12" t="inlineStr">
        <is>
          <t>Position</t>
        </is>
      </c>
      <c r="C1" s="12" t="inlineStr">
        <is>
          <t>Hours/Week</t>
        </is>
      </c>
      <c r="D1" s="12" t="inlineStr">
        <is>
          <t>Weeks</t>
        </is>
      </c>
      <c r="E1" s="12" t="inlineStr">
        <is>
          <t>Total Hours</t>
        </is>
      </c>
      <c r="F1" s="12" t="inlineStr">
        <is>
          <t>Headcount</t>
        </is>
      </c>
      <c r="G1" s="12" t="inlineStr">
        <is>
          <t>FTE per Person</t>
        </is>
      </c>
      <c r="H1" s="12" t="inlineStr">
        <is>
          <t>Total FTE</t>
        </is>
      </c>
      <c r="I1" s="12" t="inlineStr">
        <is>
          <t>Notes</t>
        </is>
      </c>
      <c r="J1" t="inlineStr">
        <is>
          <t>Notes</t>
        </is>
      </c>
    </row>
    <row r="2">
      <c r="A2" s="16" t="inlineStr">
        <is>
          <t>Standard School Year</t>
        </is>
      </c>
    </row>
    <row r="3">
      <c r="A3" t="inlineStr">
        <is>
          <t>Standard (38 weeks)</t>
        </is>
      </c>
      <c r="B3" t="inlineStr">
        <is>
          <t>Program Director</t>
        </is>
      </c>
      <c r="C3" t="n">
        <v>40</v>
      </c>
      <c r="D3" t="n">
        <v>38</v>
      </c>
      <c r="E3">
        <f>C3*D3</f>
        <v/>
      </c>
      <c r="F3" t="n">
        <v>1</v>
      </c>
      <c r="G3">
        <f>E3/2080</f>
        <v/>
      </c>
      <c r="H3">
        <f>F3*G3</f>
        <v/>
      </c>
      <c r="I3" t="inlineStr">
        <is>
          <t>NECESSITY - Full-time year-round</t>
        </is>
      </c>
    </row>
    <row r="4">
      <c r="A4" t="inlineStr">
        <is>
          <t>Standard (38 weeks)</t>
        </is>
      </c>
      <c r="B4" t="inlineStr">
        <is>
          <t>Director of Youth Development</t>
        </is>
      </c>
      <c r="C4" t="n">
        <v>40</v>
      </c>
      <c r="D4" t="n">
        <v>38</v>
      </c>
      <c r="E4">
        <f>C4*D4</f>
        <v/>
      </c>
      <c r="F4" t="n">
        <v>1</v>
      </c>
      <c r="G4">
        <f>E4/2080</f>
        <v/>
      </c>
      <c r="H4">
        <f>F4*G4</f>
        <v/>
      </c>
      <c r="I4" t="inlineStr">
        <is>
          <t>NECESSITY - Full-time year-round</t>
        </is>
      </c>
    </row>
    <row r="5">
      <c r="A5" t="inlineStr">
        <is>
          <t>Standard (38 weeks)</t>
        </is>
      </c>
      <c r="B5" t="inlineStr">
        <is>
          <t>Youth Mentors (2 positions)</t>
        </is>
      </c>
      <c r="C5" t="n">
        <v>20</v>
      </c>
      <c r="D5" t="n">
        <v>38</v>
      </c>
      <c r="E5">
        <f>C5*D5</f>
        <v/>
      </c>
      <c r="F5" t="n">
        <v>2</v>
      </c>
      <c r="G5">
        <f>E5/2080</f>
        <v/>
      </c>
      <c r="H5">
        <f>F5*G5</f>
        <v/>
      </c>
      <c r="I5" t="inlineStr">
        <is>
          <t>NECESSITY - 2 part-time mentors</t>
        </is>
      </c>
    </row>
    <row r="6">
      <c r="A6" t="inlineStr">
        <is>
          <t>Standard (38 weeks)</t>
        </is>
      </c>
      <c r="B6" t="inlineStr">
        <is>
          <t>Additional Youth Mentors (2)</t>
        </is>
      </c>
      <c r="C6" t="n">
        <v>20</v>
      </c>
      <c r="D6" t="n">
        <v>38</v>
      </c>
      <c r="E6">
        <f>C6*D6</f>
        <v/>
      </c>
      <c r="F6" t="n">
        <v>2</v>
      </c>
      <c r="G6">
        <f>E6/2080</f>
        <v/>
      </c>
      <c r="H6">
        <f>F6*G6</f>
        <v/>
      </c>
      <c r="I6" t="inlineStr">
        <is>
          <t>IDEAL - 2 additional part-time</t>
        </is>
      </c>
    </row>
    <row r="7">
      <c r="A7" t="inlineStr">
        <is>
          <t>Standard (38 weeks)</t>
        </is>
      </c>
      <c r="B7" t="inlineStr">
        <is>
          <t>Teen Coordinator</t>
        </is>
      </c>
      <c r="C7" t="n">
        <v>30</v>
      </c>
      <c r="D7" t="n">
        <v>38</v>
      </c>
      <c r="E7">
        <f>C7*D7</f>
        <v/>
      </c>
      <c r="F7" t="n">
        <v>1</v>
      </c>
      <c r="G7">
        <f>E7/2080</f>
        <v/>
      </c>
      <c r="H7">
        <f>F7*G7</f>
        <v/>
      </c>
      <c r="I7" t="inlineStr">
        <is>
          <t>IDEAL - Part-time teen programming</t>
        </is>
      </c>
    </row>
    <row r="9">
      <c r="A9" s="17" t="inlineStr">
        <is>
          <t>Extended Hours Period (Summer)</t>
        </is>
      </c>
    </row>
    <row r="10">
      <c r="A10" t="inlineStr">
        <is>
          <t>Extended (14 weeks)</t>
        </is>
      </c>
      <c r="B10" t="inlineStr">
        <is>
          <t>Program Director</t>
        </is>
      </c>
      <c r="C10" t="n">
        <v>40</v>
      </c>
      <c r="D10" t="n">
        <v>14</v>
      </c>
      <c r="E10">
        <f>C10*D10</f>
        <v/>
      </c>
      <c r="F10" t="n">
        <v>1</v>
      </c>
      <c r="G10">
        <f>E10/2080</f>
        <v/>
      </c>
      <c r="H10">
        <f>F10*G10</f>
        <v/>
      </c>
      <c r="I10" t="inlineStr">
        <is>
          <t>NECESSITY - Full-time year-round</t>
        </is>
      </c>
    </row>
    <row r="11">
      <c r="A11" t="inlineStr">
        <is>
          <t>Extended (14 weeks)</t>
        </is>
      </c>
      <c r="B11" t="inlineStr">
        <is>
          <t>Director of Youth Development</t>
        </is>
      </c>
      <c r="C11" t="n">
        <v>40</v>
      </c>
      <c r="D11" t="n">
        <v>14</v>
      </c>
      <c r="E11">
        <f>C11*D11</f>
        <v/>
      </c>
      <c r="F11" t="n">
        <v>1</v>
      </c>
      <c r="G11">
        <f>E11/2080</f>
        <v/>
      </c>
      <c r="H11">
        <f>F11*G11</f>
        <v/>
      </c>
      <c r="I11" t="inlineStr">
        <is>
          <t>NECESSITY - Full-time year-round</t>
        </is>
      </c>
    </row>
    <row r="12">
      <c r="A12" t="inlineStr">
        <is>
          <t>Extended (14 weeks)</t>
        </is>
      </c>
      <c r="B12" t="inlineStr">
        <is>
          <t>Youth Mentors (2 positions)</t>
        </is>
      </c>
      <c r="C12" t="n">
        <v>40</v>
      </c>
      <c r="D12" t="n">
        <v>14</v>
      </c>
      <c r="E12">
        <f>C12*D12</f>
        <v/>
      </c>
      <c r="F12" t="n">
        <v>2</v>
      </c>
      <c r="G12">
        <f>E12/2080</f>
        <v/>
      </c>
      <c r="H12">
        <f>F12*G12</f>
        <v/>
      </c>
      <c r="I12" t="inlineStr">
        <is>
          <t>NECESSITY - 2 full-time summer</t>
        </is>
      </c>
    </row>
    <row r="13">
      <c r="A13" t="inlineStr">
        <is>
          <t>Extended (14 weeks)</t>
        </is>
      </c>
      <c r="B13" t="inlineStr">
        <is>
          <t>Additional Youth Mentors (2)</t>
        </is>
      </c>
      <c r="C13" t="n">
        <v>40</v>
      </c>
      <c r="D13" t="n">
        <v>14</v>
      </c>
      <c r="E13">
        <f>C13*D13</f>
        <v/>
      </c>
      <c r="F13" t="n">
        <v>2</v>
      </c>
      <c r="G13">
        <f>E13/2080</f>
        <v/>
      </c>
      <c r="H13">
        <f>F13*G13</f>
        <v/>
      </c>
      <c r="I13" t="inlineStr">
        <is>
          <t>IDEAL - 2 additional full-time summer</t>
        </is>
      </c>
    </row>
    <row r="14">
      <c r="A14" t="inlineStr">
        <is>
          <t>Extended (14 weeks)</t>
        </is>
      </c>
      <c r="B14" t="inlineStr">
        <is>
          <t>Teen Coordinator</t>
        </is>
      </c>
      <c r="C14" t="n">
        <v>40</v>
      </c>
      <c r="D14" t="n">
        <v>14</v>
      </c>
      <c r="E14">
        <f>C14*D14</f>
        <v/>
      </c>
      <c r="F14" t="n">
        <v>1</v>
      </c>
      <c r="G14">
        <f>E14/2080</f>
        <v/>
      </c>
      <c r="H14">
        <f>F14*G14</f>
        <v/>
      </c>
      <c r="I14" t="inlineStr">
        <is>
          <t>IDEAL - Full-time summer</t>
        </is>
      </c>
    </row>
    <row r="16">
      <c r="A16" s="12" t="inlineStr">
        <is>
          <t>ANNUAL TOTALS</t>
        </is>
      </c>
    </row>
    <row r="17">
      <c r="B17" t="inlineStr">
        <is>
          <t>Program Director</t>
        </is>
      </c>
      <c r="E17">
        <f>E3+E10</f>
        <v/>
      </c>
      <c r="H17">
        <f>H3+H10</f>
        <v/>
      </c>
      <c r="I17" t="inlineStr">
        <is>
          <t>NECESSITY: 52 weeks @ 1.0 FTE</t>
        </is>
      </c>
    </row>
    <row r="18">
      <c r="B18" t="inlineStr">
        <is>
          <t>Director of Youth Development</t>
        </is>
      </c>
      <c r="E18">
        <f>E4+E11</f>
        <v/>
      </c>
      <c r="H18">
        <f>H4+H11</f>
        <v/>
      </c>
      <c r="I18" t="inlineStr">
        <is>
          <t>NECESSITY: 52 weeks @ 1.0 FTE</t>
        </is>
      </c>
    </row>
    <row r="19">
      <c r="B19" t="inlineStr">
        <is>
          <t>Youth Mentors (2 required)</t>
        </is>
      </c>
      <c r="E19">
        <f>E5+E12</f>
        <v/>
      </c>
      <c r="H19">
        <f>H5+H12</f>
        <v/>
      </c>
      <c r="I19" t="inlineStr">
        <is>
          <t>NECESSITY: 2 positions = 1.269 FTE</t>
        </is>
      </c>
    </row>
    <row r="20">
      <c r="B20" t="inlineStr">
        <is>
          <t>Additional Youth Mentors (2)</t>
        </is>
      </c>
      <c r="E20">
        <f>E6+E13</f>
        <v/>
      </c>
      <c r="H20">
        <f>H6+H13</f>
        <v/>
      </c>
      <c r="I20" t="inlineStr">
        <is>
          <t>IDEAL: 2 positions = 1.269 FTE</t>
        </is>
      </c>
    </row>
    <row r="21">
      <c r="B21" t="inlineStr">
        <is>
          <t>Teen Coordinator</t>
        </is>
      </c>
      <c r="E21">
        <f>E7+E14</f>
        <v/>
      </c>
      <c r="H21">
        <f>H7+H14</f>
        <v/>
      </c>
      <c r="I21" t="inlineStr">
        <is>
          <t>IDEAL: Variable hours = 0.817 FTE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zoomScale="140" zoomScaleNormal="14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9"/>
  </cols>
  <sheetData>
    <row r="1">
      <c r="A1" s="12" t="inlineStr">
        <is>
          <t>Role</t>
        </is>
      </c>
      <c r="B1" s="12" t="inlineStr">
        <is>
          <t>FTE</t>
        </is>
      </c>
      <c r="C1" s="12" t="inlineStr">
        <is>
          <t>Hourly Rate</t>
        </is>
      </c>
      <c r="D1" s="12" t="inlineStr">
        <is>
          <t>Annual Salary</t>
        </is>
      </c>
      <c r="E1" s="12" t="inlineStr">
        <is>
          <t>Benefits %</t>
        </is>
      </c>
      <c r="F1" s="12" t="inlineStr">
        <is>
          <t>Total Compensation</t>
        </is>
      </c>
      <c r="G1" s="12" t="inlineStr">
        <is>
          <t>Funding Source</t>
        </is>
      </c>
      <c r="H1" s="12" t="inlineStr">
        <is>
          <t>Placeholder?</t>
        </is>
      </c>
      <c r="I1" s="12" t="inlineStr">
        <is>
          <t>Notes</t>
        </is>
      </c>
      <c r="J1" s="12" t="inlineStr">
        <is>
          <t>Budget Scenario</t>
        </is>
      </c>
    </row>
    <row r="2">
      <c r="A2" t="inlineStr">
        <is>
          <t>Program Director</t>
        </is>
      </c>
      <c r="B2" t="n">
        <v>1</v>
      </c>
      <c r="D2" t="n">
        <v>50000</v>
      </c>
      <c r="E2" t="n">
        <v>0.25</v>
      </c>
      <c r="F2">
        <f>D2*(1+E2)</f>
        <v/>
      </c>
      <c r="G2" t="inlineStr">
        <is>
          <t>City Allocation</t>
        </is>
      </c>
      <c r="H2" t="inlineStr">
        <is>
          <t>Necessity</t>
        </is>
      </c>
      <c r="I2" t="inlineStr">
        <is>
          <t>Full-time salaried, 40 hrs/week year-round</t>
        </is>
      </c>
      <c r="J2" t="inlineStr">
        <is>
          <t>Necessity</t>
        </is>
      </c>
    </row>
    <row r="3">
      <c r="A3" t="inlineStr">
        <is>
          <t>Director of Youth Development</t>
        </is>
      </c>
      <c r="B3" t="n">
        <v>1</v>
      </c>
      <c r="D3" t="n">
        <v>50000</v>
      </c>
      <c r="E3" t="n">
        <v>0.25</v>
      </c>
      <c r="F3">
        <f>D3*(1+E3)</f>
        <v/>
      </c>
      <c r="G3" t="inlineStr">
        <is>
          <t>City Allocation</t>
        </is>
      </c>
      <c r="H3" t="inlineStr">
        <is>
          <t>Necessity</t>
        </is>
      </c>
      <c r="I3" t="inlineStr">
        <is>
          <t>Full-time salaried, 40 hrs/week year-round</t>
        </is>
      </c>
      <c r="J3" t="inlineStr">
        <is>
          <t>Necessity</t>
        </is>
      </c>
    </row>
    <row r="4">
      <c r="A4" t="inlineStr">
        <is>
          <t>Youth Mentors (2 positions)</t>
        </is>
      </c>
      <c r="B4" t="n">
        <v>1.269</v>
      </c>
      <c r="C4" t="n">
        <v>20</v>
      </c>
      <c r="D4" t="n">
        <v>52800</v>
      </c>
      <c r="E4" t="n">
        <v>0.18</v>
      </c>
      <c r="F4">
        <f>D4*(1+E4+Assumptions!$C$8)</f>
        <v/>
      </c>
      <c r="G4" t="inlineStr">
        <is>
          <t>Program Fees</t>
        </is>
      </c>
      <c r="H4" t="inlineStr">
        <is>
          <t>Necessity</t>
        </is>
      </c>
      <c r="I4" t="inlineStr">
        <is>
          <t>20 hrs/wk (38 wks) + 40 hrs/wk (14 wks) × 2 staff</t>
        </is>
      </c>
      <c r="J4" t="inlineStr">
        <is>
          <t>Necessity</t>
        </is>
      </c>
    </row>
    <row r="6">
      <c r="A6" t="inlineStr">
        <is>
          <t>Additional Youth Mentors (2 positions)</t>
        </is>
      </c>
      <c r="B6" t="n">
        <v>1.269</v>
      </c>
      <c r="C6" t="n">
        <v>20</v>
      </c>
      <c r="D6" t="n">
        <v>52800</v>
      </c>
      <c r="E6" t="n">
        <v>0.18</v>
      </c>
      <c r="F6">
        <f>D6*(1+E6+Assumptions!$C$8)</f>
        <v/>
      </c>
      <c r="G6" t="inlineStr">
        <is>
          <t>Program Fees</t>
        </is>
      </c>
      <c r="H6" t="inlineStr">
        <is>
          <t>Ideal</t>
        </is>
      </c>
      <c r="I6" t="inlineStr">
        <is>
          <t>Same schedule as first 2 mentors × 2 more staff</t>
        </is>
      </c>
      <c r="J6" t="inlineStr">
        <is>
          <t>Ideal</t>
        </is>
      </c>
    </row>
    <row r="7">
      <c r="A7" t="inlineStr">
        <is>
          <t>Teen Coordinator</t>
        </is>
      </c>
      <c r="B7" t="n">
        <v>0.8169999999999999</v>
      </c>
      <c r="C7" t="n">
        <v>22</v>
      </c>
      <c r="D7" t="n">
        <v>37400</v>
      </c>
      <c r="E7" t="n">
        <v>0.18</v>
      </c>
      <c r="F7">
        <f>D7*(1+E7+Assumptions!$C$8)</f>
        <v/>
      </c>
      <c r="G7" t="inlineStr">
        <is>
          <t>Grants</t>
        </is>
      </c>
      <c r="H7" t="inlineStr">
        <is>
          <t>Ideal</t>
        </is>
      </c>
      <c r="I7" t="inlineStr">
        <is>
          <t>30 hrs/wk (38 wks) + 40 hrs/wk (14 wks)</t>
        </is>
      </c>
      <c r="J7" t="inlineStr">
        <is>
          <t>Ideal</t>
        </is>
      </c>
    </row>
    <row r="9">
      <c r="A9" s="6" t="inlineStr">
        <is>
          <t>NECESSITY BUDGET TOTAL</t>
        </is>
      </c>
      <c r="F9" s="7">
        <f>F2+F3+F4</f>
        <v/>
      </c>
      <c r="I9" s="14" t="inlineStr">
        <is>
          <t>2 Directors + 2 Youth Mentors (required staff)</t>
        </is>
      </c>
    </row>
    <row r="10">
      <c r="A10" s="8" t="inlineStr">
        <is>
          <t>IDEAL BUDGET TOTAL</t>
        </is>
      </c>
      <c r="F10" s="9">
        <f>F2+F3+F4+F6+F7</f>
        <v/>
      </c>
      <c r="I10" s="15" t="inlineStr">
        <is>
          <t>Add 2 more Youth Mentors + Teen Coordinator (full staffing)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zoomScale="140" zoomScaleNormal="140" workbookViewId="0">
      <pane ySplit="1" topLeftCell="A2" activePane="bottomLeft" state="frozen"/>
      <selection pane="bottomLeft" activeCell="C14" sqref="C14"/>
    </sheetView>
  </sheetViews>
  <sheetFormatPr baseColWidth="10" defaultColWidth="8.83203125" defaultRowHeight="15"/>
  <cols>
    <col width="16" customWidth="1" min="1" max="19"/>
  </cols>
  <sheetData>
    <row r="1">
      <c r="A1" s="12" t="inlineStr">
        <is>
          <t>Category</t>
        </is>
      </c>
      <c r="B1" s="12" t="inlineStr">
        <is>
          <t>Line Item</t>
        </is>
      </c>
      <c r="C1" s="12" t="inlineStr">
        <is>
          <t>Cost Driver</t>
        </is>
      </c>
      <c r="D1" s="12" t="inlineStr">
        <is>
          <t>Nov</t>
        </is>
      </c>
      <c r="E1" s="12" t="inlineStr">
        <is>
          <t>Dec</t>
        </is>
      </c>
      <c r="F1" s="12" t="inlineStr">
        <is>
          <t>Jan</t>
        </is>
      </c>
      <c r="G1" s="12" t="inlineStr">
        <is>
          <t>Feb</t>
        </is>
      </c>
      <c r="H1" s="12" t="inlineStr">
        <is>
          <t>Mar</t>
        </is>
      </c>
      <c r="I1" s="12" t="inlineStr">
        <is>
          <t>Apr</t>
        </is>
      </c>
      <c r="J1" s="12" t="inlineStr">
        <is>
          <t>May</t>
        </is>
      </c>
      <c r="K1" s="12" t="inlineStr">
        <is>
          <t>Jun</t>
        </is>
      </c>
      <c r="L1" s="12" t="inlineStr">
        <is>
          <t>Jul</t>
        </is>
      </c>
      <c r="M1" s="12" t="inlineStr">
        <is>
          <t>Aug</t>
        </is>
      </c>
      <c r="N1" s="12" t="inlineStr">
        <is>
          <t>Sep</t>
        </is>
      </c>
      <c r="O1" s="12" t="inlineStr">
        <is>
          <t>Oct</t>
        </is>
      </c>
      <c r="P1" s="12" t="inlineStr">
        <is>
          <t>Annual Total</t>
        </is>
      </c>
      <c r="Q1" s="12" t="inlineStr">
        <is>
          <t>Budget Type</t>
        </is>
      </c>
      <c r="R1" s="12" t="inlineStr">
        <is>
          <t>Notes</t>
        </is>
      </c>
    </row>
    <row r="2">
      <c r="A2" s="16" t="inlineStr">
        <is>
          <t>Personnel</t>
        </is>
      </c>
    </row>
    <row r="3">
      <c r="A3" t="inlineStr">
        <is>
          <t>Personnel</t>
        </is>
      </c>
      <c r="B3" t="inlineStr">
        <is>
          <t>Program Director</t>
        </is>
      </c>
      <c r="C3" t="inlineStr">
        <is>
          <t>Salaried</t>
        </is>
      </c>
      <c r="D3">
        <f>'Staffing Costs'!F2/12</f>
        <v/>
      </c>
      <c r="E3">
        <f>'Staffing Costs'!F2/12</f>
        <v/>
      </c>
      <c r="F3">
        <f>'Staffing Costs'!F2/12</f>
        <v/>
      </c>
      <c r="G3">
        <f>'Staffing Costs'!F2/12</f>
        <v/>
      </c>
      <c r="H3">
        <f>'Staffing Costs'!F2/12</f>
        <v/>
      </c>
      <c r="I3">
        <f>'Staffing Costs'!F2/12</f>
        <v/>
      </c>
      <c r="J3">
        <f>'Staffing Costs'!F2/12</f>
        <v/>
      </c>
      <c r="K3">
        <f>'Staffing Costs'!F2/12</f>
        <v/>
      </c>
      <c r="L3">
        <f>'Staffing Costs'!F2/12</f>
        <v/>
      </c>
      <c r="M3">
        <f>'Staffing Costs'!F2/12</f>
        <v/>
      </c>
      <c r="N3">
        <f>'Staffing Costs'!F2/12</f>
        <v/>
      </c>
      <c r="O3">
        <f>'Staffing Costs'!F2/12</f>
        <v/>
      </c>
      <c r="P3">
        <f>'Staffing Costs'!F2</f>
        <v/>
      </c>
      <c r="Q3" t="inlineStr">
        <is>
          <t>Necessity</t>
        </is>
      </c>
      <c r="R3" t="inlineStr">
        <is>
          <t>Full-time salaried</t>
        </is>
      </c>
    </row>
    <row r="4">
      <c r="A4" t="inlineStr">
        <is>
          <t>Personnel</t>
        </is>
      </c>
      <c r="B4" t="inlineStr">
        <is>
          <t>Director of Youth Development</t>
        </is>
      </c>
      <c r="C4" t="inlineStr">
        <is>
          <t>Salaried</t>
        </is>
      </c>
      <c r="D4">
        <f>'Staffing Costs'!F3/12</f>
        <v/>
      </c>
      <c r="E4">
        <f>'Staffing Costs'!F3/12</f>
        <v/>
      </c>
      <c r="F4">
        <f>'Staffing Costs'!F3/12</f>
        <v/>
      </c>
      <c r="G4">
        <f>'Staffing Costs'!F3/12</f>
        <v/>
      </c>
      <c r="H4">
        <f>'Staffing Costs'!F3/12</f>
        <v/>
      </c>
      <c r="I4">
        <f>'Staffing Costs'!F3/12</f>
        <v/>
      </c>
      <c r="J4">
        <f>'Staffing Costs'!F3/12</f>
        <v/>
      </c>
      <c r="K4">
        <f>'Staffing Costs'!F3/12</f>
        <v/>
      </c>
      <c r="L4">
        <f>'Staffing Costs'!F3/12</f>
        <v/>
      </c>
      <c r="M4">
        <f>'Staffing Costs'!F3/12</f>
        <v/>
      </c>
      <c r="N4">
        <f>'Staffing Costs'!F3/12</f>
        <v/>
      </c>
      <c r="O4">
        <f>'Staffing Costs'!F3/12</f>
        <v/>
      </c>
      <c r="P4">
        <f>'Staffing Costs'!F3</f>
        <v/>
      </c>
      <c r="Q4" t="inlineStr">
        <is>
          <t>Necessity</t>
        </is>
      </c>
      <c r="R4" t="inlineStr">
        <is>
          <t>Full-time salaried</t>
        </is>
      </c>
    </row>
    <row r="5">
      <c r="A5" t="inlineStr">
        <is>
          <t>Personnel</t>
        </is>
      </c>
      <c r="B5" t="inlineStr">
        <is>
          <t>Youth Mentors (2 positions)</t>
        </is>
      </c>
      <c r="C5" t="inlineStr">
        <is>
          <t>Hourly</t>
        </is>
      </c>
      <c r="D5">
        <f>'Staffing Costs'!F4/12</f>
        <v/>
      </c>
      <c r="E5">
        <f>'Staffing Costs'!F4/12</f>
        <v/>
      </c>
      <c r="F5">
        <f>'Staffing Costs'!F4/12</f>
        <v/>
      </c>
      <c r="G5">
        <f>'Staffing Costs'!F4/12</f>
        <v/>
      </c>
      <c r="H5">
        <f>'Staffing Costs'!F4/12</f>
        <v/>
      </c>
      <c r="I5">
        <f>'Staffing Costs'!F4/12</f>
        <v/>
      </c>
      <c r="J5">
        <f>'Staffing Costs'!F4/12</f>
        <v/>
      </c>
      <c r="K5">
        <f>'Staffing Costs'!F4/12</f>
        <v/>
      </c>
      <c r="L5">
        <f>'Staffing Costs'!F4/12</f>
        <v/>
      </c>
      <c r="M5">
        <f>'Staffing Costs'!F4/12</f>
        <v/>
      </c>
      <c r="N5">
        <f>'Staffing Costs'!F4/12</f>
        <v/>
      </c>
      <c r="O5">
        <f>'Staffing Costs'!F4/12</f>
        <v/>
      </c>
      <c r="P5">
        <f>'Staffing Costs'!F4</f>
        <v/>
      </c>
      <c r="Q5" t="inlineStr">
        <is>
          <t>Necessity</t>
        </is>
      </c>
      <c r="R5" t="inlineStr">
        <is>
          <t>Required staffing</t>
        </is>
      </c>
    </row>
    <row r="6">
      <c r="A6" t="inlineStr">
        <is>
          <t>Personnel</t>
        </is>
      </c>
      <c r="B6" t="inlineStr">
        <is>
          <t>Additional Youth Mentors (2)</t>
        </is>
      </c>
      <c r="C6" t="inlineStr">
        <is>
          <t>Hourly</t>
        </is>
      </c>
      <c r="D6">
        <f>'Staffing Costs'!F6/12</f>
        <v/>
      </c>
      <c r="E6">
        <f>'Staffing Costs'!F6/12</f>
        <v/>
      </c>
      <c r="F6">
        <f>'Staffing Costs'!F6/12</f>
        <v/>
      </c>
      <c r="G6">
        <f>'Staffing Costs'!F6/12</f>
        <v/>
      </c>
      <c r="H6">
        <f>'Staffing Costs'!F6/12</f>
        <v/>
      </c>
      <c r="I6">
        <f>'Staffing Costs'!F6/12</f>
        <v/>
      </c>
      <c r="J6">
        <f>'Staffing Costs'!F6/12</f>
        <v/>
      </c>
      <c r="K6">
        <f>'Staffing Costs'!F6/12</f>
        <v/>
      </c>
      <c r="L6">
        <f>'Staffing Costs'!F6/12</f>
        <v/>
      </c>
      <c r="M6">
        <f>'Staffing Costs'!F6/12</f>
        <v/>
      </c>
      <c r="N6">
        <f>'Staffing Costs'!F6/12</f>
        <v/>
      </c>
      <c r="O6">
        <f>'Staffing Costs'!F6/12</f>
        <v/>
      </c>
      <c r="P6">
        <f>'Staffing Costs'!F6</f>
        <v/>
      </c>
      <c r="Q6" t="inlineStr">
        <is>
          <t>Ideal</t>
        </is>
      </c>
      <c r="R6" t="inlineStr">
        <is>
          <t>For expanded programming</t>
        </is>
      </c>
    </row>
    <row r="7">
      <c r="A7" t="inlineStr">
        <is>
          <t>Personnel</t>
        </is>
      </c>
      <c r="B7" t="inlineStr">
        <is>
          <t>Teen Coordinator</t>
        </is>
      </c>
      <c r="C7" t="inlineStr">
        <is>
          <t>Hourly</t>
        </is>
      </c>
      <c r="D7">
        <f>'Staffing Costs'!F7/12</f>
        <v/>
      </c>
      <c r="E7">
        <f>'Staffing Costs'!F7/12</f>
        <v/>
      </c>
      <c r="F7">
        <f>'Staffing Costs'!F7/12</f>
        <v/>
      </c>
      <c r="G7">
        <f>'Staffing Costs'!F7/12</f>
        <v/>
      </c>
      <c r="H7">
        <f>'Staffing Costs'!F7/12</f>
        <v/>
      </c>
      <c r="I7">
        <f>'Staffing Costs'!F7/12</f>
        <v/>
      </c>
      <c r="J7">
        <f>'Staffing Costs'!F7/12</f>
        <v/>
      </c>
      <c r="K7">
        <f>'Staffing Costs'!F7/12</f>
        <v/>
      </c>
      <c r="L7">
        <f>'Staffing Costs'!F7/12</f>
        <v/>
      </c>
      <c r="M7">
        <f>'Staffing Costs'!F7/12</f>
        <v/>
      </c>
      <c r="N7">
        <f>'Staffing Costs'!F7/12</f>
        <v/>
      </c>
      <c r="O7">
        <f>'Staffing Costs'!F7/12</f>
        <v/>
      </c>
      <c r="P7">
        <f>'Staffing Costs'!F7</f>
        <v/>
      </c>
      <c r="Q7" t="inlineStr">
        <is>
          <t>Ideal</t>
        </is>
      </c>
      <c r="R7" t="inlineStr">
        <is>
          <t>Teen programming specialist</t>
        </is>
      </c>
    </row>
    <row r="9">
      <c r="A9" s="18" t="inlineStr">
        <is>
          <t>Program Expenses</t>
        </is>
      </c>
    </row>
    <row r="10">
      <c r="A10" t="inlineStr">
        <is>
          <t>Program</t>
        </is>
      </c>
      <c r="B10" t="inlineStr">
        <is>
          <t>Meals/Snacks</t>
        </is>
      </c>
      <c r="C10" t="inlineStr">
        <is>
          <t>Per participant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>
        <f>SUM(D10:O10)</f>
        <v/>
      </c>
      <c r="Q10" t="inlineStr">
        <is>
          <t>Both</t>
        </is>
      </c>
      <c r="R10" t="inlineStr">
        <is>
          <t>Need vendor quote</t>
        </is>
      </c>
    </row>
    <row r="11">
      <c r="A11" t="inlineStr">
        <is>
          <t>Program</t>
        </is>
      </c>
      <c r="B11" t="inlineStr">
        <is>
          <t>Program Supplies</t>
        </is>
      </c>
      <c r="C11" t="inlineStr">
        <is>
          <t>Estimated</t>
        </is>
      </c>
      <c r="D11" t="n">
        <v>400</v>
      </c>
      <c r="E11" t="n">
        <v>400</v>
      </c>
      <c r="F11" t="n">
        <v>400</v>
      </c>
      <c r="G11" t="n">
        <v>400</v>
      </c>
      <c r="H11" t="n">
        <v>400</v>
      </c>
      <c r="I11" t="n">
        <v>400</v>
      </c>
      <c r="J11" t="n">
        <v>400</v>
      </c>
      <c r="K11" t="n">
        <v>400</v>
      </c>
      <c r="L11" t="n">
        <v>400</v>
      </c>
      <c r="M11" t="n">
        <v>400</v>
      </c>
      <c r="N11" t="n">
        <v>400</v>
      </c>
      <c r="O11" t="n">
        <v>400</v>
      </c>
      <c r="P11">
        <f>SUM(D11:O11)</f>
        <v/>
      </c>
      <c r="Q11" t="inlineStr">
        <is>
          <t>Both</t>
        </is>
      </c>
      <c r="R11" t="inlineStr">
        <is>
          <t>Placeholder</t>
        </is>
      </c>
    </row>
    <row r="13">
      <c r="A13" s="17" t="inlineStr">
        <is>
          <t>Facility Expenses</t>
        </is>
      </c>
    </row>
    <row r="14">
      <c r="A14" t="inlineStr">
        <is>
          <t>Facilities</t>
        </is>
      </c>
      <c r="B14" t="inlineStr">
        <is>
          <t>Facility Rent/Lease</t>
        </is>
      </c>
      <c r="C14" t="inlineStr">
        <is>
          <t>Monthly</t>
        </is>
      </c>
      <c r="D14" t="n">
        <v>1600</v>
      </c>
      <c r="E14" t="n">
        <v>1600</v>
      </c>
      <c r="F14" t="n">
        <v>1600</v>
      </c>
      <c r="G14" t="n">
        <v>1600</v>
      </c>
      <c r="H14" t="n">
        <v>1600</v>
      </c>
      <c r="I14" t="n">
        <v>1600</v>
      </c>
      <c r="J14" t="n">
        <v>1600</v>
      </c>
      <c r="K14" t="n">
        <v>1600</v>
      </c>
      <c r="L14" t="n">
        <v>1600</v>
      </c>
      <c r="M14" t="n">
        <v>1600</v>
      </c>
      <c r="N14" t="n">
        <v>1600</v>
      </c>
      <c r="O14" t="n">
        <v>1600</v>
      </c>
      <c r="P14">
        <f>SUM(D14:O14)</f>
        <v/>
      </c>
      <c r="Q14" t="inlineStr">
        <is>
          <t>Both</t>
        </is>
      </c>
      <c r="R14" t="inlineStr">
        <is>
          <t>Confirm with City</t>
        </is>
      </c>
    </row>
    <row r="15">
      <c r="A15" t="inlineStr">
        <is>
          <t>Facilities</t>
        </is>
      </c>
      <c r="B15" t="inlineStr">
        <is>
          <t>Utilities</t>
        </is>
      </c>
      <c r="C15" t="inlineStr">
        <is>
          <t>City in-kind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>
        <f>SUM(D15:O15)</f>
        <v/>
      </c>
      <c r="Q15" t="inlineStr">
        <is>
          <t>Both</t>
        </is>
      </c>
      <c r="R15" t="inlineStr">
        <is>
          <t>Covered by City</t>
        </is>
      </c>
    </row>
    <row r="17">
      <c r="A17" s="19" t="inlineStr">
        <is>
          <t>Administrative</t>
        </is>
      </c>
    </row>
    <row r="18">
      <c r="A18" t="inlineStr">
        <is>
          <t>Administrative</t>
        </is>
      </c>
      <c r="B18" t="inlineStr">
        <is>
          <t>Insurance (Liability &amp; D&amp;O)</t>
        </is>
      </c>
      <c r="C18" t="inlineStr">
        <is>
          <t>Annual premium</t>
        </is>
      </c>
      <c r="D18" t="n">
        <v>2500</v>
      </c>
      <c r="E18" t="n">
        <v>2500</v>
      </c>
      <c r="F18" t="n">
        <v>2500</v>
      </c>
      <c r="G18" t="n">
        <v>2500</v>
      </c>
      <c r="H18" t="n">
        <v>2500</v>
      </c>
      <c r="I18" t="n">
        <v>2500</v>
      </c>
      <c r="J18" t="n">
        <v>2500</v>
      </c>
      <c r="K18" t="n">
        <v>2500</v>
      </c>
      <c r="L18" t="n">
        <v>2500</v>
      </c>
      <c r="M18" t="n">
        <v>2500</v>
      </c>
      <c r="N18" t="n">
        <v>2500</v>
      </c>
      <c r="O18" t="n">
        <v>2500</v>
      </c>
      <c r="P18">
        <f>SUM(D18:O18)</f>
        <v/>
      </c>
      <c r="Q18" t="inlineStr">
        <is>
          <t>Both</t>
        </is>
      </c>
      <c r="R18" t="inlineStr">
        <is>
          <t>Need broker quote</t>
        </is>
      </c>
    </row>
    <row r="21">
      <c r="A21" s="20" t="inlineStr">
        <is>
          <t>NECESSITY BUDGET TOTAL</t>
        </is>
      </c>
      <c r="D21">
        <f>D3+D4+D5+D10+D11+D14+D15+D18</f>
        <v/>
      </c>
      <c r="E21">
        <f>E3+E4+E5+E10+E11+E14+E15+E18</f>
        <v/>
      </c>
      <c r="F21">
        <f>F3+F4+F5+F10+F11+F14+F15+F18</f>
        <v/>
      </c>
      <c r="G21">
        <f>G3+G4+G5+G10+G11+G14+G15+G18</f>
        <v/>
      </c>
      <c r="H21">
        <f>H3+H4+H5+H10+H11+H14+H15+H18</f>
        <v/>
      </c>
      <c r="I21">
        <f>I3+I4+I5+I10+I11+I14+I15+I18</f>
        <v/>
      </c>
      <c r="J21">
        <f>J3+J4+J5+J10+J11+J14+J15+J18</f>
        <v/>
      </c>
      <c r="K21">
        <f>K3+K4+K5+K10+K11+K14+K15+K18</f>
        <v/>
      </c>
      <c r="L21">
        <f>L3+L4+L5+L10+L11+L14+L15+L18</f>
        <v/>
      </c>
      <c r="M21">
        <f>M3+M4+M5+M10+M11+M14+M15+M18</f>
        <v/>
      </c>
      <c r="N21">
        <f>N3+N4+N5+N10+N11+N14+N15+N18</f>
        <v/>
      </c>
      <c r="O21">
        <f>O3+O4+O5+O10+O11+O14+O15+O18</f>
        <v/>
      </c>
      <c r="P21" s="7">
        <f>SUM(D21:O21)</f>
        <v/>
      </c>
      <c r="R21" t="inlineStr">
        <is>
          <t>2 Directors + 2 Youth Mentors + baseline</t>
        </is>
      </c>
    </row>
    <row r="22">
      <c r="A22" s="21" t="inlineStr">
        <is>
          <t>IDEAL BUDGET TOTAL</t>
        </is>
      </c>
      <c r="D22">
        <f>D21+D6+D7</f>
        <v/>
      </c>
      <c r="E22">
        <f>E21+E6+E7</f>
        <v/>
      </c>
      <c r="F22">
        <f>F21+F6+F7</f>
        <v/>
      </c>
      <c r="G22">
        <f>G21+G6+G7</f>
        <v/>
      </c>
      <c r="H22">
        <f>H21+H6+H7</f>
        <v/>
      </c>
      <c r="I22">
        <f>I21+I6+I7</f>
        <v/>
      </c>
      <c r="J22">
        <f>J21+J6+J7</f>
        <v/>
      </c>
      <c r="K22">
        <f>K21+K6+K7</f>
        <v/>
      </c>
      <c r="L22">
        <f>L21+L6+L7</f>
        <v/>
      </c>
      <c r="M22">
        <f>M21+M6+M7</f>
        <v/>
      </c>
      <c r="N22">
        <f>N21+N6+N7</f>
        <v/>
      </c>
      <c r="O22">
        <f>O21+O6+O7</f>
        <v/>
      </c>
      <c r="P22" s="9">
        <f>SUM(D22:O22)</f>
        <v/>
      </c>
      <c r="R22" t="inlineStr">
        <is>
          <t>Add 2 more Mentors + Teen Coordinator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zoomScale="140" zoomScaleNormal="14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C2" sqref="C2"/>
    </sheetView>
  </sheetViews>
  <sheetFormatPr baseColWidth="10" defaultColWidth="8.83203125" defaultRowHeight="15"/>
  <cols>
    <col width="15" customWidth="1" min="1" max="18"/>
  </cols>
  <sheetData>
    <row r="1">
      <c r="A1" s="1" t="inlineStr">
        <is>
          <t>Category</t>
        </is>
      </c>
      <c r="B1" s="1" t="inlineStr">
        <is>
          <t>Line Item</t>
        </is>
      </c>
      <c r="C1" s="1" t="inlineStr">
        <is>
          <t>Nov</t>
        </is>
      </c>
      <c r="D1" s="1" t="inlineStr">
        <is>
          <t>Dec</t>
        </is>
      </c>
      <c r="E1" s="1" t="inlineStr">
        <is>
          <t>Jan</t>
        </is>
      </c>
      <c r="F1" s="1" t="inlineStr">
        <is>
          <t>Feb</t>
        </is>
      </c>
      <c r="G1" s="1" t="inlineStr">
        <is>
          <t>Mar</t>
        </is>
      </c>
      <c r="H1" s="1" t="inlineStr">
        <is>
          <t>Apr</t>
        </is>
      </c>
      <c r="I1" s="1" t="inlineStr">
        <is>
          <t>May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Aug</t>
        </is>
      </c>
      <c r="M1" s="1" t="inlineStr">
        <is>
          <t>Sep</t>
        </is>
      </c>
      <c r="N1" s="1" t="inlineStr">
        <is>
          <t>Oct</t>
        </is>
      </c>
      <c r="O1" s="1" t="inlineStr">
        <is>
          <t>Total</t>
        </is>
      </c>
      <c r="P1" s="1" t="inlineStr">
        <is>
          <t>Restriction</t>
        </is>
      </c>
      <c r="Q1" s="1" t="inlineStr">
        <is>
          <t>Confidence</t>
        </is>
      </c>
      <c r="R1" s="1" t="inlineStr">
        <is>
          <t>Notes</t>
        </is>
      </c>
    </row>
    <row r="2">
      <c r="A2" t="inlineStr">
        <is>
          <t>Earned</t>
        </is>
      </c>
      <c r="B2" t="inlineStr">
        <is>
          <t>Participant Fees</t>
        </is>
      </c>
      <c r="C2">
        <f>$B$11</f>
        <v/>
      </c>
      <c r="D2">
        <f>$B$11</f>
        <v/>
      </c>
      <c r="E2">
        <f>$B$11</f>
        <v/>
      </c>
      <c r="F2">
        <f>$B$11</f>
        <v/>
      </c>
      <c r="G2">
        <f>$B$11</f>
        <v/>
      </c>
      <c r="H2">
        <f>$B$11</f>
        <v/>
      </c>
      <c r="I2">
        <f>$B$11</f>
        <v/>
      </c>
      <c r="J2">
        <f>$B$11</f>
        <v/>
      </c>
      <c r="K2">
        <f>$B$11</f>
        <v/>
      </c>
      <c r="L2">
        <f>$B$11</f>
        <v/>
      </c>
      <c r="M2">
        <f>$B$11</f>
        <v/>
      </c>
      <c r="N2">
        <f>$B$11</f>
        <v/>
      </c>
      <c r="O2">
        <f>SUM(C2:N2)</f>
        <v/>
      </c>
      <c r="P2" t="inlineStr">
        <is>
          <t>Unrestricted</t>
        </is>
      </c>
      <c r="Q2" t="inlineStr">
        <is>
          <t>Medium</t>
        </is>
      </c>
      <c r="R2" t="inlineStr">
        <is>
          <t>Placeholder billing</t>
        </is>
      </c>
    </row>
    <row r="3">
      <c r="A3" t="inlineStr">
        <is>
          <t>Government</t>
        </is>
      </c>
      <c r="B3" t="inlineStr">
        <is>
          <t>City Support (Operating Subsidy)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>
        <f>SUM(C3:N3)</f>
        <v/>
      </c>
      <c r="P3" t="inlineStr">
        <is>
          <t>Restricted</t>
        </is>
      </c>
      <c r="Q3" t="inlineStr">
        <is>
          <t>High</t>
        </is>
      </c>
      <c r="R3" t="inlineStr">
        <is>
          <t>Awaiting commitments</t>
        </is>
      </c>
    </row>
    <row r="4">
      <c r="A4" t="inlineStr">
        <is>
          <t>Contributions</t>
        </is>
      </c>
      <c r="B4" t="inlineStr">
        <is>
          <t>Grants &amp; Contributions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>
        <f>SUM(C4:N4)</f>
        <v/>
      </c>
      <c r="P4" t="inlineStr">
        <is>
          <t>Restricted</t>
        </is>
      </c>
      <c r="Q4" t="inlineStr">
        <is>
          <t>Medium</t>
        </is>
      </c>
      <c r="R4" t="inlineStr">
        <is>
          <t>Pending applications</t>
        </is>
      </c>
    </row>
    <row r="7">
      <c r="A7" t="inlineStr">
        <is>
          <t>Revenue Calculation:</t>
        </is>
      </c>
    </row>
    <row r="8">
      <c r="A8" t="inlineStr">
        <is>
          <t>Total enrollment</t>
        </is>
      </c>
      <c r="B8" t="n">
        <v>425</v>
      </c>
    </row>
    <row r="9">
      <c r="A9" t="inlineStr">
        <is>
          <t>Cost per participant</t>
        </is>
      </c>
      <c r="B9" t="n">
        <v>100</v>
      </c>
    </row>
    <row r="10">
      <c r="A10" t="inlineStr">
        <is>
          <t>Annual revenue</t>
        </is>
      </c>
      <c r="B10">
        <f>B8*B9</f>
        <v/>
      </c>
    </row>
    <row r="11">
      <c r="A11" t="inlineStr">
        <is>
          <t>Monthly revenue</t>
        </is>
      </c>
      <c r="B11">
        <f>B10/12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9"/>
  </cols>
  <sheetData>
    <row r="1">
      <c r="A1" s="1" t="inlineStr">
        <is>
          <t>Month</t>
        </is>
      </c>
      <c r="B1" s="1" t="inlineStr">
        <is>
          <t>Beginning Cash</t>
        </is>
      </c>
      <c r="C1" s="1" t="inlineStr">
        <is>
          <t>Cash In</t>
        </is>
      </c>
      <c r="D1" s="1" t="inlineStr">
        <is>
          <t>Cash Out</t>
        </is>
      </c>
      <c r="E1" s="1" t="inlineStr">
        <is>
          <t>Net Change</t>
        </is>
      </c>
      <c r="F1" s="1" t="inlineStr">
        <is>
          <t>Ending Cash</t>
        </is>
      </c>
      <c r="G1" s="1" t="inlineStr">
        <is>
          <t>Minimum Target</t>
        </is>
      </c>
      <c r="H1" s="1" t="inlineStr">
        <is>
          <t>Variance</t>
        </is>
      </c>
      <c r="I1" s="1" t="inlineStr">
        <is>
          <t>Notes</t>
        </is>
      </c>
    </row>
    <row r="2">
      <c r="A2" t="inlineStr">
        <is>
          <t>Jul</t>
        </is>
      </c>
      <c r="B2">
        <f>Assumptions!C6</f>
        <v/>
      </c>
      <c r="C2">
        <f>'Revenue Forecast'!B2+'Revenue Forecast'!B3+'Revenue Forecast'!B4</f>
        <v/>
      </c>
      <c r="D2">
        <f>'Expense Detail'!D2+'Expense Detail'!D3+'Expense Detail'!D4</f>
        <v/>
      </c>
      <c r="E2">
        <f>C2-D2</f>
        <v/>
      </c>
      <c r="F2">
        <f>B2+E2</f>
        <v/>
      </c>
      <c r="G2">
        <f>Assumptions!C6*0.25</f>
        <v/>
      </c>
      <c r="H2">
        <f>F2-G2</f>
        <v/>
      </c>
      <c r="I2" t="inlineStr">
        <is>
          <t>Placeholder cash forecast</t>
        </is>
      </c>
    </row>
    <row r="3">
      <c r="A3" t="inlineStr">
        <is>
          <t>Aug</t>
        </is>
      </c>
      <c r="B3">
        <f>F2</f>
        <v/>
      </c>
      <c r="C3">
        <f>'Revenue Forecast'!C2+'Revenue Forecast'!C3+'Revenue Forecast'!C4</f>
        <v/>
      </c>
      <c r="D3">
        <f>'Expense Detail'!E2+'Expense Detail'!E3+'Expense Detail'!E4</f>
        <v/>
      </c>
      <c r="E3">
        <f>C3-D3</f>
        <v/>
      </c>
      <c r="F3">
        <f>B3+E3</f>
        <v/>
      </c>
      <c r="G3">
        <f>Assumptions!C6*0.25</f>
        <v/>
      </c>
      <c r="H3">
        <f>F3-G3</f>
        <v/>
      </c>
      <c r="I3" t="inlineStr">
        <is>
          <t>Placeholder cash forecast</t>
        </is>
      </c>
    </row>
    <row r="4">
      <c r="A4" t="inlineStr">
        <is>
          <t>Sep</t>
        </is>
      </c>
      <c r="B4">
        <f>F3</f>
        <v/>
      </c>
      <c r="C4">
        <f>'Revenue Forecast'!D2+'Revenue Forecast'!D3+'Revenue Forecast'!D4</f>
        <v/>
      </c>
      <c r="D4">
        <f>'Expense Detail'!F2+'Expense Detail'!F3+'Expense Detail'!F4</f>
        <v/>
      </c>
      <c r="E4">
        <f>C4-D4</f>
        <v/>
      </c>
      <c r="F4">
        <f>B4+E4</f>
        <v/>
      </c>
      <c r="G4">
        <f>Assumptions!C6*0.25</f>
        <v/>
      </c>
      <c r="H4">
        <f>F4-G4</f>
        <v/>
      </c>
      <c r="I4" t="inlineStr">
        <is>
          <t>Placeholder cash forecast</t>
        </is>
      </c>
    </row>
    <row r="5">
      <c r="A5" t="inlineStr">
        <is>
          <t>Oct</t>
        </is>
      </c>
      <c r="B5">
        <f>F4</f>
        <v/>
      </c>
      <c r="C5">
        <f>'Revenue Forecast'!E2+'Revenue Forecast'!E3+'Revenue Forecast'!E4</f>
        <v/>
      </c>
      <c r="D5">
        <f>'Expense Detail'!G2+'Expense Detail'!G3+'Expense Detail'!G4</f>
        <v/>
      </c>
      <c r="E5">
        <f>C5-D5</f>
        <v/>
      </c>
      <c r="F5">
        <f>B5+E5</f>
        <v/>
      </c>
      <c r="G5">
        <f>Assumptions!C6*0.25</f>
        <v/>
      </c>
      <c r="H5">
        <f>F5-G5</f>
        <v/>
      </c>
      <c r="I5" t="inlineStr">
        <is>
          <t>Placeholder cash forecast</t>
        </is>
      </c>
    </row>
    <row r="6">
      <c r="A6" t="inlineStr">
        <is>
          <t>Nov</t>
        </is>
      </c>
      <c r="B6">
        <f>F5</f>
        <v/>
      </c>
      <c r="C6">
        <f>'Revenue Forecast'!F2+'Revenue Forecast'!F3+'Revenue Forecast'!F4</f>
        <v/>
      </c>
      <c r="D6">
        <f>'Expense Detail'!H2+'Expense Detail'!H3+'Expense Detail'!H4</f>
        <v/>
      </c>
      <c r="E6">
        <f>C6-D6</f>
        <v/>
      </c>
      <c r="F6">
        <f>B6+E6</f>
        <v/>
      </c>
      <c r="G6">
        <f>Assumptions!C6*0.25</f>
        <v/>
      </c>
      <c r="H6">
        <f>F6-G6</f>
        <v/>
      </c>
      <c r="I6" t="inlineStr">
        <is>
          <t>Placeholder cash forecast</t>
        </is>
      </c>
    </row>
    <row r="7">
      <c r="A7" t="inlineStr">
        <is>
          <t>Dec</t>
        </is>
      </c>
      <c r="B7">
        <f>F6</f>
        <v/>
      </c>
      <c r="C7">
        <f>'Revenue Forecast'!G2+'Revenue Forecast'!G3+'Revenue Forecast'!G4</f>
        <v/>
      </c>
      <c r="D7">
        <f>'Expense Detail'!I2+'Expense Detail'!I3+'Expense Detail'!I4</f>
        <v/>
      </c>
      <c r="E7">
        <f>C7-D7</f>
        <v/>
      </c>
      <c r="F7">
        <f>B7+E7</f>
        <v/>
      </c>
      <c r="G7">
        <f>Assumptions!C6*0.25</f>
        <v/>
      </c>
      <c r="H7">
        <f>F7-G7</f>
        <v/>
      </c>
      <c r="I7" t="inlineStr">
        <is>
          <t>Placeholder cash forecast</t>
        </is>
      </c>
    </row>
    <row r="8">
      <c r="A8" t="inlineStr">
        <is>
          <t>Jan</t>
        </is>
      </c>
      <c r="B8">
        <f>F7</f>
        <v/>
      </c>
      <c r="C8">
        <f>'Revenue Forecast'!H2+'Revenue Forecast'!H3+'Revenue Forecast'!H4</f>
        <v/>
      </c>
      <c r="D8">
        <f>'Expense Detail'!J2+'Expense Detail'!J3+'Expense Detail'!J4</f>
        <v/>
      </c>
      <c r="E8">
        <f>C8-D8</f>
        <v/>
      </c>
      <c r="F8">
        <f>B8+E8</f>
        <v/>
      </c>
      <c r="G8">
        <f>Assumptions!C6*0.25</f>
        <v/>
      </c>
      <c r="H8">
        <f>F8-G8</f>
        <v/>
      </c>
      <c r="I8" t="inlineStr">
        <is>
          <t>Placeholder cash forecast</t>
        </is>
      </c>
    </row>
    <row r="9">
      <c r="A9" t="inlineStr">
        <is>
          <t>Feb</t>
        </is>
      </c>
      <c r="B9">
        <f>F8</f>
        <v/>
      </c>
      <c r="C9">
        <f>'Revenue Forecast'!I2+'Revenue Forecast'!I3+'Revenue Forecast'!I4</f>
        <v/>
      </c>
      <c r="D9">
        <f>'Expense Detail'!K2+'Expense Detail'!K3+'Expense Detail'!K4</f>
        <v/>
      </c>
      <c r="E9">
        <f>C9-D9</f>
        <v/>
      </c>
      <c r="F9">
        <f>B9+E9</f>
        <v/>
      </c>
      <c r="G9">
        <f>Assumptions!C6*0.25</f>
        <v/>
      </c>
      <c r="H9">
        <f>F9-G9</f>
        <v/>
      </c>
      <c r="I9" t="inlineStr">
        <is>
          <t>Placeholder cash forecast</t>
        </is>
      </c>
    </row>
    <row r="10">
      <c r="A10" t="inlineStr">
        <is>
          <t>Mar</t>
        </is>
      </c>
      <c r="B10">
        <f>F9</f>
        <v/>
      </c>
      <c r="C10">
        <f>'Revenue Forecast'!J2+'Revenue Forecast'!J3+'Revenue Forecast'!J4</f>
        <v/>
      </c>
      <c r="D10">
        <f>'Expense Detail'!L2+'Expense Detail'!L3+'Expense Detail'!L4</f>
        <v/>
      </c>
      <c r="E10">
        <f>C10-D10</f>
        <v/>
      </c>
      <c r="F10">
        <f>B10+E10</f>
        <v/>
      </c>
      <c r="G10">
        <f>Assumptions!C6*0.25</f>
        <v/>
      </c>
      <c r="H10">
        <f>F10-G10</f>
        <v/>
      </c>
      <c r="I10" t="inlineStr">
        <is>
          <t>Placeholder cash forecast</t>
        </is>
      </c>
    </row>
    <row r="11">
      <c r="A11" t="inlineStr">
        <is>
          <t>Apr</t>
        </is>
      </c>
      <c r="B11">
        <f>F10</f>
        <v/>
      </c>
      <c r="C11">
        <f>'Revenue Forecast'!K2+'Revenue Forecast'!K3+'Revenue Forecast'!K4</f>
        <v/>
      </c>
      <c r="D11">
        <f>'Expense Detail'!M2+'Expense Detail'!M3+'Expense Detail'!M4</f>
        <v/>
      </c>
      <c r="E11">
        <f>C11-D11</f>
        <v/>
      </c>
      <c r="F11">
        <f>B11+E11</f>
        <v/>
      </c>
      <c r="G11">
        <f>Assumptions!C6*0.25</f>
        <v/>
      </c>
      <c r="H11">
        <f>F11-G11</f>
        <v/>
      </c>
      <c r="I11" t="inlineStr">
        <is>
          <t>Placeholder cash forecast</t>
        </is>
      </c>
    </row>
    <row r="12">
      <c r="A12" t="inlineStr">
        <is>
          <t>May</t>
        </is>
      </c>
      <c r="B12">
        <f>F11</f>
        <v/>
      </c>
      <c r="C12">
        <f>'Revenue Forecast'!L2+'Revenue Forecast'!L3+'Revenue Forecast'!L4</f>
        <v/>
      </c>
      <c r="D12">
        <f>'Expense Detail'!N2+'Expense Detail'!N3+'Expense Detail'!N4</f>
        <v/>
      </c>
      <c r="E12">
        <f>C12-D12</f>
        <v/>
      </c>
      <c r="F12">
        <f>B12+E12</f>
        <v/>
      </c>
      <c r="G12">
        <f>Assumptions!C6*0.25</f>
        <v/>
      </c>
      <c r="H12">
        <f>F12-G12</f>
        <v/>
      </c>
      <c r="I12" t="inlineStr">
        <is>
          <t>Placeholder cash forecast</t>
        </is>
      </c>
    </row>
    <row r="13">
      <c r="A13" t="inlineStr">
        <is>
          <t>Jun</t>
        </is>
      </c>
      <c r="B13">
        <f>F12</f>
        <v/>
      </c>
      <c r="C13">
        <f>'Revenue Forecast'!M2+'Revenue Forecast'!M3+'Revenue Forecast'!M4</f>
        <v/>
      </c>
      <c r="D13">
        <f>'Expense Detail'!O2+'Expense Detail'!O3+'Expense Detail'!O4</f>
        <v/>
      </c>
      <c r="E13">
        <f>C13-D13</f>
        <v/>
      </c>
      <c r="F13">
        <f>B13+E13</f>
        <v/>
      </c>
      <c r="G13">
        <f>Assumptions!C6*0.25</f>
        <v/>
      </c>
      <c r="H13">
        <f>F13-G13</f>
        <v/>
      </c>
      <c r="I13" t="inlineStr">
        <is>
          <t>Placeholder cash 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6"/>
  </cols>
  <sheetData>
    <row r="1">
      <c r="A1" s="12" t="inlineStr">
        <is>
          <t>Budget Type</t>
        </is>
      </c>
      <c r="B1" s="12" t="inlineStr">
        <is>
          <t>Scenario</t>
        </is>
      </c>
      <c r="C1" s="12" t="inlineStr">
        <is>
          <t>Revenue Multiplier</t>
        </is>
      </c>
      <c r="D1" s="12" t="inlineStr">
        <is>
          <t>Enrollment Multiplier</t>
        </is>
      </c>
      <c r="E1" s="12" t="inlineStr">
        <is>
          <t>Expense Escalation</t>
        </is>
      </c>
      <c r="F1" s="12" t="inlineStr">
        <is>
          <t>Projected Surplus/Deficit</t>
        </is>
      </c>
      <c r="G1" s="12" t="inlineStr">
        <is>
          <t>Notes</t>
        </is>
      </c>
    </row>
    <row r="2">
      <c r="A2" t="inlineStr">
        <is>
          <t>Necessity</t>
        </is>
      </c>
      <c r="B2" t="inlineStr">
        <is>
          <t>Base</t>
        </is>
      </c>
      <c r="C2" t="n">
        <v>1</v>
      </c>
      <c r="D2" t="n">
        <v>1</v>
      </c>
      <c r="E2">
        <f>'Revenue Forecast'!O2+'Revenue Forecast'!O3+'Revenue Forecast'!O4-'Expense Detail'!Q2-'Expense Detail'!Q3-'Expense Detail'!Q4</f>
        <v/>
      </c>
      <c r="F2" t="inlineStr">
        <is>
          <t>Baseline assumption</t>
        </is>
      </c>
      <c r="G2" t="inlineStr">
        <is>
          <t>Without Teen Coordinator</t>
        </is>
      </c>
    </row>
    <row r="3">
      <c r="A3" t="inlineStr">
        <is>
          <t>Necessity</t>
        </is>
      </c>
      <c r="B3" t="inlineStr">
        <is>
          <t>Conservative</t>
        </is>
      </c>
      <c r="C3" t="n">
        <v>0.95</v>
      </c>
      <c r="D3" t="n">
        <v>1.02</v>
      </c>
      <c r="E3">
        <f>B3*('Revenue Forecast'!O2+'Revenue Forecast'!O3+'Revenue Forecast'!O4)-(C3*'Expense Detail'!Q2 + C3*'Expense Detail'!Q3 + D3*'Expense Detail'!Q4)</f>
        <v/>
      </c>
      <c r="F3" t="inlineStr">
        <is>
          <t>Lower enrollment, higher costs</t>
        </is>
      </c>
      <c r="G3" t="inlineStr">
        <is>
          <t>Without Teen Coordinator</t>
        </is>
      </c>
    </row>
    <row r="4">
      <c r="A4" t="inlineStr">
        <is>
          <t>Necessity</t>
        </is>
      </c>
      <c r="B4" t="inlineStr">
        <is>
          <t>Stretch</t>
        </is>
      </c>
      <c r="C4" t="n">
        <v>1.05</v>
      </c>
      <c r="D4" t="n">
        <v>0.98</v>
      </c>
      <c r="E4">
        <f>B4*('Revenue Forecast'!O2+'Revenue Forecast'!O3+'Revenue Forecast'!O4)-(C4*'Expense Detail'!Q2 + C4*'Expense Detail'!Q3 + D4*'Expense Detail'!Q4)</f>
        <v/>
      </c>
      <c r="F4" t="inlineStr">
        <is>
          <t>Higher enrollment, small savings</t>
        </is>
      </c>
      <c r="G4" t="inlineStr">
        <is>
          <t>Without Teen Coordinator</t>
        </is>
      </c>
    </row>
    <row r="5">
      <c r="A5" t="inlineStr">
        <is>
          <t>Ideal</t>
        </is>
      </c>
      <c r="B5" t="inlineStr">
        <is>
          <t>Base</t>
        </is>
      </c>
      <c r="C5" t="n">
        <v>1</v>
      </c>
      <c r="D5" t="n">
        <v>1</v>
      </c>
      <c r="E5" t="n">
        <v>1</v>
      </c>
      <c r="G5" t="inlineStr">
        <is>
          <t>With Teen Coordinator (+$43,243)</t>
        </is>
      </c>
    </row>
    <row r="6">
      <c r="A6" t="inlineStr">
        <is>
          <t>Ideal</t>
        </is>
      </c>
      <c r="B6" t="inlineStr">
        <is>
          <t>Conservative</t>
        </is>
      </c>
      <c r="C6" t="n">
        <v>0.9</v>
      </c>
      <c r="D6" t="n">
        <v>0.95</v>
      </c>
      <c r="E6" t="n">
        <v>1.02</v>
      </c>
      <c r="G6" t="inlineStr">
        <is>
          <t>With Teen Coordinator (+$43,243)</t>
        </is>
      </c>
    </row>
    <row r="7">
      <c r="A7" t="inlineStr">
        <is>
          <t>Ideal</t>
        </is>
      </c>
      <c r="B7" t="inlineStr">
        <is>
          <t>Stretch</t>
        </is>
      </c>
      <c r="C7" t="n">
        <v>1.1</v>
      </c>
      <c r="D7" t="n">
        <v>1.05</v>
      </c>
      <c r="E7" t="n">
        <v>0.98</v>
      </c>
      <c r="G7" t="inlineStr">
        <is>
          <t>With Teen Coordinator (+$43,243)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zoomScale="150" zoomScaleNormal="150" workbookViewId="0">
      <pane ySplit="1" topLeftCell="A2" activePane="bottomLeft" state="frozen"/>
      <selection pane="bottomLeft" activeCell="B11" sqref="B11"/>
    </sheetView>
  </sheetViews>
  <sheetFormatPr baseColWidth="10" defaultColWidth="8.83203125" defaultRowHeight="15"/>
  <cols>
    <col width="24" customWidth="1" min="1" max="5"/>
  </cols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Due Date</t>
        </is>
      </c>
      <c r="E1" s="1" t="inlineStr">
        <is>
          <t>Notes</t>
        </is>
      </c>
    </row>
    <row r="2">
      <c r="A2" t="inlineStr">
        <is>
          <t>Confirm fiscal year with city</t>
        </is>
      </c>
      <c r="B2" t="inlineStr">
        <is>
          <t>Matthew</t>
        </is>
      </c>
      <c r="C2" t="inlineStr">
        <is>
          <t>In Progress</t>
        </is>
      </c>
    </row>
    <row r="3">
      <c r="A3" t="inlineStr">
        <is>
          <t>Gather enrollment projections</t>
        </is>
      </c>
      <c r="B3" t="inlineStr">
        <is>
          <t>Program Lead</t>
        </is>
      </c>
      <c r="C3" t="inlineStr">
        <is>
          <t>Not Started</t>
        </is>
      </c>
    </row>
    <row r="4">
      <c r="A4" t="inlineStr">
        <is>
          <t>Secure facility MOU</t>
        </is>
      </c>
      <c r="B4" t="inlineStr">
        <is>
          <t>City</t>
        </is>
      </c>
      <c r="C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  <col width="25" customWidth="1" min="5" max="5"/>
    <col width="15" customWidth="1" min="6" max="6"/>
    <col width="18" customWidth="1" min="7" max="7"/>
    <col width="30" customWidth="1" min="8" max="8"/>
  </cols>
  <sheetData>
    <row r="1">
      <c r="A1" s="22" t="inlineStr">
        <is>
          <t>OPERATIONS &amp; STAFFING SCHEDULE</t>
        </is>
      </c>
    </row>
    <row r="3">
      <c r="A3" s="12" t="inlineStr">
        <is>
          <t>Period</t>
        </is>
      </c>
      <c r="B3" s="12" t="inlineStr">
        <is>
          <t>Operating Hours</t>
        </is>
      </c>
      <c r="C3" s="12" t="inlineStr">
        <is>
          <t>Days/Week</t>
        </is>
      </c>
      <c r="D3" s="12" t="inlineStr">
        <is>
          <t>Weeks/Year</t>
        </is>
      </c>
      <c r="E3" s="12" t="inlineStr">
        <is>
          <t>Staff Position</t>
        </is>
      </c>
      <c r="F3" s="12" t="inlineStr">
        <is>
          <t>Number of Staff</t>
        </is>
      </c>
      <c r="G3" s="12" t="inlineStr">
        <is>
          <t>Total Staff On-Site</t>
        </is>
      </c>
      <c r="H3" s="12" t="inlineStr">
        <is>
          <t>Notes</t>
        </is>
      </c>
    </row>
    <row r="4">
      <c r="A4" s="23" t="inlineStr">
        <is>
          <t>SCHOOL YEAR - NECESSITY</t>
        </is>
      </c>
    </row>
    <row r="5">
      <c r="A5" t="inlineStr">
        <is>
          <t>After-School</t>
        </is>
      </c>
      <c r="B5" t="inlineStr">
        <is>
          <t>2:00 PM - 6:00 PM</t>
        </is>
      </c>
      <c r="C5" t="n">
        <v>5</v>
      </c>
      <c r="D5" t="n">
        <v>38</v>
      </c>
      <c r="E5" t="inlineStr">
        <is>
          <t>Program Director</t>
        </is>
      </c>
      <c r="F5" t="n">
        <v>1</v>
      </c>
      <c r="G5" t="n">
        <v>4</v>
      </c>
      <c r="H5" t="inlineStr">
        <is>
          <t>Minimum viable staffing - 2 mentors</t>
        </is>
      </c>
    </row>
    <row r="6">
      <c r="E6" t="inlineStr">
        <is>
          <t>Director of Youth Development</t>
        </is>
      </c>
      <c r="F6" t="n">
        <v>1</v>
      </c>
    </row>
    <row r="7">
      <c r="E7" t="inlineStr">
        <is>
          <t>Youth Mentors</t>
        </is>
      </c>
      <c r="F7" t="n">
        <v>2</v>
      </c>
    </row>
    <row r="9">
      <c r="A9" s="24" t="inlineStr">
        <is>
          <t>SCHOOL YEAR - IDEAL</t>
        </is>
      </c>
    </row>
    <row r="10">
      <c r="A10" t="inlineStr">
        <is>
          <t>After-School</t>
        </is>
      </c>
      <c r="B10" t="inlineStr">
        <is>
          <t>2:00 PM - 6:00 PM</t>
        </is>
      </c>
      <c r="C10" t="n">
        <v>5</v>
      </c>
      <c r="D10" t="n">
        <v>38</v>
      </c>
      <c r="E10" t="inlineStr">
        <is>
          <t>Program Director</t>
        </is>
      </c>
      <c r="F10" t="n">
        <v>1</v>
      </c>
      <c r="G10" t="n">
        <v>6</v>
      </c>
      <c r="H10" t="inlineStr">
        <is>
          <t>Full staffing capacity</t>
        </is>
      </c>
    </row>
    <row r="11">
      <c r="E11" t="inlineStr">
        <is>
          <t>Director of Youth Development</t>
        </is>
      </c>
      <c r="F11" t="n">
        <v>1</v>
      </c>
    </row>
    <row r="12">
      <c r="E12" t="inlineStr">
        <is>
          <t>Youth Mentors</t>
        </is>
      </c>
      <c r="F12" t="n">
        <v>4</v>
      </c>
      <c r="H12" t="inlineStr">
        <is>
          <t>4 mentors for better ratios</t>
        </is>
      </c>
    </row>
    <row r="13">
      <c r="E13" t="inlineStr">
        <is>
          <t>Teen Coordinator</t>
        </is>
      </c>
      <c r="F13" t="n">
        <v>1</v>
      </c>
      <c r="H13" t="inlineStr">
        <is>
          <t>Specialized teen programming</t>
        </is>
      </c>
    </row>
    <row r="15">
      <c r="A15" s="23" t="inlineStr">
        <is>
          <t>SUMMER - NECESSITY</t>
        </is>
      </c>
    </row>
    <row r="16">
      <c r="A16" t="inlineStr">
        <is>
          <t>Full Day</t>
        </is>
      </c>
      <c r="B16" t="inlineStr">
        <is>
          <t>7:00 AM - 6:00 PM</t>
        </is>
      </c>
      <c r="C16" t="n">
        <v>5</v>
      </c>
      <c r="D16" t="n">
        <v>14</v>
      </c>
      <c r="E16" t="inlineStr">
        <is>
          <t>Program Director</t>
        </is>
      </c>
      <c r="F16" t="n">
        <v>1</v>
      </c>
      <c r="G16" t="n">
        <v>4</v>
      </c>
      <c r="H16" t="inlineStr">
        <is>
          <t>Extended summer hours - 2 mentors</t>
        </is>
      </c>
    </row>
    <row r="17">
      <c r="E17" t="inlineStr">
        <is>
          <t>Director of Youth Development</t>
        </is>
      </c>
      <c r="F17" t="n">
        <v>1</v>
      </c>
    </row>
    <row r="18">
      <c r="E18" t="inlineStr">
        <is>
          <t>Youth Mentors</t>
        </is>
      </c>
      <c r="F18" t="n">
        <v>2</v>
      </c>
    </row>
    <row r="20">
      <c r="A20" s="24" t="inlineStr">
        <is>
          <t>SUMMER - IDEAL</t>
        </is>
      </c>
    </row>
    <row r="21">
      <c r="A21" t="inlineStr">
        <is>
          <t>Full Day</t>
        </is>
      </c>
      <c r="B21" t="inlineStr">
        <is>
          <t>7:00 AM - 6:00 PM</t>
        </is>
      </c>
      <c r="C21" t="n">
        <v>5</v>
      </c>
      <c r="D21" t="n">
        <v>14</v>
      </c>
      <c r="E21" t="inlineStr">
        <is>
          <t>Program Director</t>
        </is>
      </c>
      <c r="F21" t="n">
        <v>1</v>
      </c>
      <c r="G21" t="n">
        <v>6</v>
      </c>
      <c r="H21" t="inlineStr">
        <is>
          <t>Full summer programming</t>
        </is>
      </c>
    </row>
    <row r="22">
      <c r="E22" t="inlineStr">
        <is>
          <t>Director of Youth Development</t>
        </is>
      </c>
      <c r="F22" t="n">
        <v>1</v>
      </c>
    </row>
    <row r="23">
      <c r="E23" t="inlineStr">
        <is>
          <t>Youth Mentors</t>
        </is>
      </c>
      <c r="F23" t="n">
        <v>4</v>
      </c>
      <c r="H23" t="inlineStr">
        <is>
          <t>4 mentors for activities</t>
        </is>
      </c>
    </row>
    <row r="24">
      <c r="E24" t="inlineStr">
        <is>
          <t>Teen Coordinator</t>
        </is>
      </c>
      <c r="F24" t="n">
        <v>1</v>
      </c>
      <c r="H24" t="inlineStr">
        <is>
          <t>Teen-specific activities</t>
        </is>
      </c>
    </row>
    <row r="26">
      <c r="A26" s="23" t="inlineStr">
        <is>
          <t>SCHOOL BREAKS &amp; INSERVICE DAYS - NECESSITY</t>
        </is>
      </c>
    </row>
    <row r="27">
      <c r="A27" t="inlineStr">
        <is>
          <t>Full Day</t>
        </is>
      </c>
      <c r="B27" t="inlineStr">
        <is>
          <t>7:00 AM - 6:00 PM</t>
        </is>
      </c>
      <c r="C27" t="inlineStr">
        <is>
          <t>Variable</t>
        </is>
      </c>
      <c r="D27" t="inlineStr">
        <is>
          <t>~15 days/year</t>
        </is>
      </c>
      <c r="E27" t="inlineStr">
        <is>
          <t>Program Director</t>
        </is>
      </c>
      <c r="F27" t="n">
        <v>1</v>
      </c>
      <c r="G27" t="n">
        <v>4</v>
      </c>
      <c r="H27" t="inlineStr">
        <is>
          <t>Winter/Spring breaks, inservice - 2 mentors</t>
        </is>
      </c>
    </row>
    <row r="28">
      <c r="E28" t="inlineStr">
        <is>
          <t>Director of Youth Development</t>
        </is>
      </c>
      <c r="F28" t="n">
        <v>1</v>
      </c>
    </row>
    <row r="29">
      <c r="E29" t="inlineStr">
        <is>
          <t>Youth Mentors</t>
        </is>
      </c>
      <c r="F29" t="n">
        <v>2</v>
      </c>
    </row>
    <row r="31">
      <c r="A31" s="24" t="inlineStr">
        <is>
          <t>SCHOOL BREAKS &amp; INSERVICE DAYS - IDEAL</t>
        </is>
      </c>
    </row>
    <row r="32">
      <c r="A32" t="inlineStr">
        <is>
          <t>Full Day</t>
        </is>
      </c>
      <c r="B32" t="inlineStr">
        <is>
          <t>7:00 AM - 6:00 PM</t>
        </is>
      </c>
      <c r="C32" t="inlineStr">
        <is>
          <t>Variable</t>
        </is>
      </c>
      <c r="D32" t="inlineStr">
        <is>
          <t>~15 days/year</t>
        </is>
      </c>
      <c r="E32" t="inlineStr">
        <is>
          <t>Program Director</t>
        </is>
      </c>
      <c r="F32" t="n">
        <v>1</v>
      </c>
      <c r="G32" t="n">
        <v>6</v>
      </c>
      <c r="H32" t="inlineStr">
        <is>
          <t>Special programming for breaks</t>
        </is>
      </c>
    </row>
    <row r="33">
      <c r="E33" t="inlineStr">
        <is>
          <t>Director of Youth Development</t>
        </is>
      </c>
      <c r="F33" t="n">
        <v>1</v>
      </c>
    </row>
    <row r="34">
      <c r="E34" t="inlineStr">
        <is>
          <t>Youth Mentors</t>
        </is>
      </c>
      <c r="F34" t="n">
        <v>4</v>
      </c>
      <c r="H34" t="inlineStr">
        <is>
          <t>Field trips, special activities</t>
        </is>
      </c>
    </row>
    <row r="35">
      <c r="E35" t="inlineStr">
        <is>
          <t>Teen Coordinator</t>
        </is>
      </c>
      <c r="F35" t="n">
        <v>1</v>
      </c>
      <c r="H35" t="inlineStr">
        <is>
          <t>Teen-focused programs</t>
        </is>
      </c>
    </row>
    <row r="37">
      <c r="A37" s="25" t="inlineStr">
        <is>
          <t>ANNUAL OPERATING SUMMARY</t>
        </is>
      </c>
    </row>
    <row r="38">
      <c r="A38" s="6" t="inlineStr">
        <is>
          <t>Total Operating Days (Approximate):</t>
        </is>
      </c>
    </row>
    <row r="39">
      <c r="B39" t="inlineStr">
        <is>
          <t>School Year (38 weeks × 5 days)</t>
        </is>
      </c>
      <c r="C39" t="n">
        <v>190</v>
      </c>
      <c r="D39" t="inlineStr">
        <is>
          <t>days</t>
        </is>
      </c>
    </row>
    <row r="40">
      <c r="B40" t="inlineStr">
        <is>
          <t>Summer (14 weeks × 5 days)</t>
        </is>
      </c>
      <c r="C40" t="n">
        <v>70</v>
      </c>
      <c r="D40" t="inlineStr">
        <is>
          <t>days</t>
        </is>
      </c>
    </row>
    <row r="41">
      <c r="B41" t="inlineStr">
        <is>
          <t>School Breaks/Inservice</t>
        </is>
      </c>
      <c r="C41" t="n">
        <v>15</v>
      </c>
      <c r="D41" t="inlineStr">
        <is>
          <t>days (estimated)</t>
        </is>
      </c>
    </row>
    <row r="42">
      <c r="B42" s="6" t="inlineStr">
        <is>
          <t>TOTAL OPERATING DAYS</t>
        </is>
      </c>
      <c r="C42" s="6">
        <f>C39+C40+C41</f>
        <v/>
      </c>
      <c r="D42" s="6" t="inlineStr">
        <is>
          <t>days/year</t>
        </is>
      </c>
    </row>
  </sheetData>
  <mergeCells count="8">
    <mergeCell ref="A9:H9"/>
    <mergeCell ref="A4:H4"/>
    <mergeCell ref="A26:H26"/>
    <mergeCell ref="A15:H15"/>
    <mergeCell ref="A20:H20"/>
    <mergeCell ref="A1:H1"/>
    <mergeCell ref="A37:H37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2025-10-27T03:39:15Z</dcterms:created>
  <dcterms:modified xsi:type="dcterms:W3CDTF">2025-11-14T18:10:32Z</dcterms:modified>
  <cp:lastModifiedBy>Scott Novis</cp:lastModifiedBy>
</cp:coreProperties>
</file>